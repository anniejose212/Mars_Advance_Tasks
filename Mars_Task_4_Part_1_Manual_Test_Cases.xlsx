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nie\Documents\mvpstudio\to submit\"/>
    </mc:Choice>
  </mc:AlternateContent>
  <xr:revisionPtr revIDLastSave="0" documentId="13_ncr:1_{DED10B82-DD1A-4C4A-954E-1E2040A6AE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Test Cases" sheetId="2" r:id="rId2"/>
    <sheet name="Untestable &amp; Known Issues" sheetId="3" r:id="rId3"/>
  </sheets>
  <definedNames>
    <definedName name="_xlnm._FilterDatabase" localSheetId="1" hidden="1">'Test Cases'!$A$1:$L$82</definedName>
    <definedName name="_xlnm.Print_Titles" localSheetId="1">'Test Cases'!$1:$1</definedName>
    <definedName name="_xlnm.Print_Titles" localSheetId="2">'Untestable &amp; Known Issues'!$1:$1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" l="1" a="1"/>
  <c r="C50" i="1" s="1"/>
  <c r="F49" i="1" a="1"/>
  <c r="F49" i="1" s="1"/>
  <c r="E49" i="1" a="1"/>
  <c r="E49" i="1" s="1"/>
  <c r="B49" i="1" a="1"/>
  <c r="B49" i="1" s="1"/>
  <c r="F44" i="1"/>
  <c r="E44" i="1"/>
  <c r="D44" i="1"/>
  <c r="C44" i="1"/>
  <c r="B44" i="1"/>
  <c r="B38" i="1"/>
  <c r="C38" i="1" s="1"/>
  <c r="B37" i="1"/>
  <c r="C37" i="1" s="1"/>
  <c r="B36" i="1"/>
  <c r="C36" i="1" s="1"/>
  <c r="B35" i="1"/>
  <c r="C35" i="1" s="1"/>
  <c r="B32" i="1"/>
  <c r="B31" i="1"/>
  <c r="B30" i="1"/>
  <c r="B29" i="1"/>
  <c r="B28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25" i="1" s="1"/>
  <c r="D5" i="1"/>
  <c r="M4" i="1"/>
  <c r="J4" i="1"/>
  <c r="G4" i="1"/>
  <c r="F48" i="1" l="1"/>
  <c r="F46" i="1" a="1"/>
  <c r="F46" i="1" s="1"/>
  <c r="F47" i="1" a="1"/>
  <c r="F47" i="1" s="1"/>
  <c r="F50" i="1" a="1"/>
  <c r="F50" i="1" s="1"/>
  <c r="F45" i="1" a="1"/>
  <c r="F45" i="1" s="1"/>
  <c r="E48" i="1"/>
  <c r="E47" i="1" a="1"/>
  <c r="E47" i="1" s="1"/>
  <c r="E46" i="1" a="1"/>
  <c r="E46" i="1" s="1"/>
  <c r="E50" i="1" a="1"/>
  <c r="E50" i="1" s="1"/>
  <c r="E45" i="1" a="1"/>
  <c r="E45" i="1" s="1"/>
  <c r="D48" i="1"/>
  <c r="D46" i="1" a="1"/>
  <c r="D46" i="1" s="1"/>
  <c r="D45" i="1" a="1"/>
  <c r="D45" i="1" s="1"/>
  <c r="D51" i="1" s="1"/>
  <c r="D50" i="1" a="1"/>
  <c r="D50" i="1" s="1"/>
  <c r="D49" i="1" a="1"/>
  <c r="D49" i="1" s="1"/>
  <c r="D47" i="1" a="1"/>
  <c r="D47" i="1" s="1"/>
  <c r="C48" i="1"/>
  <c r="C47" i="1" a="1"/>
  <c r="C47" i="1" s="1"/>
  <c r="C49" i="1" a="1"/>
  <c r="C49" i="1" s="1"/>
  <c r="G49" i="1" s="1"/>
  <c r="C45" i="1" a="1"/>
  <c r="C45" i="1" s="1"/>
  <c r="C51" i="1" s="1"/>
  <c r="C46" i="1" a="1"/>
  <c r="C46" i="1" s="1"/>
  <c r="B48" i="1"/>
  <c r="G48" i="1" s="1"/>
  <c r="B45" i="1" a="1"/>
  <c r="B45" i="1" s="1"/>
  <c r="B47" i="1" a="1"/>
  <c r="B47" i="1" s="1"/>
  <c r="G47" i="1" s="1"/>
  <c r="B46" i="1" a="1"/>
  <c r="B46" i="1" s="1"/>
  <c r="B50" i="1" a="1"/>
  <c r="B50" i="1" s="1"/>
  <c r="G50" i="1" s="1"/>
  <c r="G5" i="1"/>
  <c r="B39" i="1"/>
  <c r="D4" i="1"/>
  <c r="P4" i="1"/>
  <c r="G45" i="1" l="1"/>
  <c r="B51" i="1"/>
  <c r="C39" i="1"/>
  <c r="P5" i="1"/>
  <c r="E51" i="1"/>
  <c r="G46" i="1"/>
  <c r="F51" i="1"/>
  <c r="G51" i="1" l="1"/>
</calcChain>
</file>

<file path=xl/sharedStrings.xml><?xml version="1.0" encoding="utf-8"?>
<sst xmlns="http://schemas.openxmlformats.org/spreadsheetml/2006/main" count="1087" uniqueCount="636">
  <si>
    <t>Project Mars Advanced Task, Part 1: Manual Test Cases (User Story 1)</t>
  </si>
  <si>
    <t>How to use</t>
  </si>
  <si>
    <t>TOTAL TEST CASES</t>
  </si>
  <si>
    <t>PASSED</t>
  </si>
  <si>
    <t>FAILED</t>
  </si>
  <si>
    <t>PASS RATE</t>
  </si>
  <si>
    <t>COMPLETION</t>
  </si>
  <si>
    <t>Run each case in 'Test Cases' by hand, then fill in Actual Result (column K) and Status (column L: Pass, Fail, Blocked, Not Run). Everything else is filled in.</t>
  </si>
  <si>
    <t>Untestable or known-issue items are listed on the 'Untestable &amp; Known Issues' sheet with the reason.</t>
  </si>
  <si>
    <t>see Untestable &amp; Known Issues</t>
  </si>
  <si>
    <t>of executed cases</t>
  </si>
  <si>
    <t>Feature (Column A)</t>
  </si>
  <si>
    <t>Test cases</t>
  </si>
  <si>
    <t>A2 Profile: Availability, Hours, Earn Target</t>
  </si>
  <si>
    <t>A2 Profile: Location</t>
  </si>
  <si>
    <t>A2 Profile: Name</t>
  </si>
  <si>
    <t>A3 Languages: Add</t>
  </si>
  <si>
    <t>A4 Languages: Delete</t>
  </si>
  <si>
    <t>A5 Languages: Update</t>
  </si>
  <si>
    <t>A6 Skills: Add</t>
  </si>
  <si>
    <t>A7 Skills: Delete</t>
  </si>
  <si>
    <t>A8 Skills: Update</t>
  </si>
  <si>
    <t>A9 Share Skills: Add New</t>
  </si>
  <si>
    <t>A10 Search Skills: Categories</t>
  </si>
  <si>
    <t>A11 Search Skills: Filters</t>
  </si>
  <si>
    <t>Notifications: setup (supports A12 to A16)</t>
  </si>
  <si>
    <t>A12 / A13 Notifications: Load More, Show Less</t>
  </si>
  <si>
    <t>A14 Notifications: Delete</t>
  </si>
  <si>
    <t>A15 Notifications: Mark as Read</t>
  </si>
  <si>
    <t>A16 Notifications: Select &amp; Unselect</t>
  </si>
  <si>
    <t>Total</t>
  </si>
  <si>
    <t>Test type</t>
  </si>
  <si>
    <t>Happy Path</t>
  </si>
  <si>
    <t>Extended Positive</t>
  </si>
  <si>
    <t>Negative (valid input)</t>
  </si>
  <si>
    <t>Negative (invalid input)</t>
  </si>
  <si>
    <t>Destructive / Security</t>
  </si>
  <si>
    <t>Status</t>
  </si>
  <si>
    <t>Chart label</t>
  </si>
  <si>
    <t>Pass</t>
  </si>
  <si>
    <t>Fail</t>
  </si>
  <si>
    <t>Blocked</t>
  </si>
  <si>
    <t>Not Run</t>
  </si>
  <si>
    <t>Not yet filled in</t>
  </si>
  <si>
    <t>Test type by feature group</t>
  </si>
  <si>
    <t>A2 Profile</t>
  </si>
  <si>
    <t>A3-A5 Languages</t>
  </si>
  <si>
    <t>A6-A8 Skills</t>
  </si>
  <si>
    <t>A9 Share Skills</t>
  </si>
  <si>
    <t>A10-A11 Search Skills</t>
  </si>
  <si>
    <t>A12-A16 Notifications (incl. setup)</t>
  </si>
  <si>
    <t>TC ID</t>
  </si>
  <si>
    <t>Test Type</t>
  </si>
  <si>
    <t>Scenario</t>
  </si>
  <si>
    <t>Preconditions</t>
  </si>
  <si>
    <t>Test Steps</t>
  </si>
  <si>
    <t>Test Data</t>
  </si>
  <si>
    <t>Expected Result</t>
  </si>
  <si>
    <t>Automated Test</t>
  </si>
  <si>
    <t>Owner</t>
  </si>
  <si>
    <t>Actual Result</t>
  </si>
  <si>
    <t>LNG_TC_001</t>
  </si>
  <si>
    <t>Add a language with a level</t>
  </si>
  <si>
    <t>Logged in as test user A on localhost:5003; on Profile page; Languages tab; no languages listed</t>
  </si>
  <si>
    <t>1. Click Add New
2. Enter language, choose level
3. Click Add</t>
  </si>
  <si>
    <t>LanguagesData.json: Add</t>
  </si>
  <si>
    <t>Toast contains 'added'; language and level shown once in the table</t>
  </si>
  <si>
    <t>LNG_TC_001_AddLanguage_ShowsSuccessAndAppears</t>
  </si>
  <si>
    <t>Jincy Annie Jose</t>
  </si>
  <si>
    <t>Record added and displayed in Languages list. Blue toast confirmed.</t>
  </si>
  <si>
    <t>LNG_TC_002</t>
  </si>
  <si>
    <t>Change a language's level</t>
  </si>
  <si>
    <t>Logged in as test user A on localhost:5003; on Profile page; Languages tab; no languages listed; one language added</t>
  </si>
  <si>
    <t>1. Click the edit icon on the row
2. Choose a new level
3. Click Update</t>
  </si>
  <si>
    <t>LanguagesData.json: Update</t>
  </si>
  <si>
    <t>Toast contains 'updated'; row shows the new level</t>
  </si>
  <si>
    <t>LNG_TC_002_UpdateLanguage_ChangesLevel</t>
  </si>
  <si>
    <t>Language updated and displayed correctly in list.</t>
  </si>
  <si>
    <t>LNG_TC_003</t>
  </si>
  <si>
    <t>Delete a language</t>
  </si>
  <si>
    <t>1. Click the delete icon on the row</t>
  </si>
  <si>
    <t>LanguagesData.json: Delete</t>
  </si>
  <si>
    <t>Toast contains 'deleted'; row removed</t>
  </si>
  <si>
    <t>LNG_TC_003_DeleteLanguage_RemovesRow</t>
  </si>
  <si>
    <t>Record deleted successfully. Red toast: 'English has been deleted from your languages.' Confirmed.</t>
  </si>
  <si>
    <t>LNG_TC_004</t>
  </si>
  <si>
    <t>Add several languages</t>
  </si>
  <si>
    <t>1. Add each language in the data set</t>
  </si>
  <si>
    <t>LanguagesData.json: MultipleLanguages</t>
  </si>
  <si>
    <t>Table row count equals the number added</t>
  </si>
  <si>
    <t>LNG_TC_004_AddMultipleLanguages_ShowsAllInList</t>
  </si>
  <si>
    <t>Both records saved uniquely and displayed in Languages list.</t>
  </si>
  <si>
    <t>LNG_TC_005</t>
  </si>
  <si>
    <t>Add New disappears after four languages</t>
  </si>
  <si>
    <t>1. Add four languages
2. Look for the Add New button</t>
  </si>
  <si>
    <t>LanguagesData.json: FourLanguages</t>
  </si>
  <si>
    <t>Four rows shown; Add New button hidden</t>
  </si>
  <si>
    <t>LNG_TC_005_AddFourLanguages_HidesAddNewButton</t>
  </si>
  <si>
    <t>Adds 4 languages</t>
  </si>
  <si>
    <t>LNG_TC_006</t>
  </si>
  <si>
    <t>Duplicate language is rejected</t>
  </si>
  <si>
    <t>1. Add a language
2. Add the same language and level again</t>
  </si>
  <si>
    <t>LanguagesData.json: Duplicate</t>
  </si>
  <si>
    <t>Error toast contains 'already'; language appears only once</t>
  </si>
  <si>
    <t>LNG_TC_006_DuplicateLanguage_ShowsError</t>
  </si>
  <si>
    <t>System displays error 'Language already exists'. No duplicate created.</t>
  </si>
  <si>
    <t>LNG_TC_007</t>
  </si>
  <si>
    <t>Same language in different case</t>
  </si>
  <si>
    <t>1. Add a language, e.g. 'Portuguese'
2. Add it again in lower case</t>
  </si>
  <si>
    <t>LanguagesData.json: CaseInsensitiveDuplicate</t>
  </si>
  <si>
    <t>Correct behaviour would reject it as a duplicate. The app currently accepts it as a new entry (known issue); the automated test records this current behaviour.</t>
  </si>
  <si>
    <t>LNG_TC_007_CaseInsensitiveDuplicate_IsAccepted</t>
  </si>
  <si>
    <t>'portuguese' was accepted as a new language after 'Portuguese'. Matches current behaviour; the defect is logged on the Known Issues sheet.</t>
  </si>
  <si>
    <t>LNG_TC_008</t>
  </si>
  <si>
    <t>Level not in the list</t>
  </si>
  <si>
    <t>1. Click Add New
2. Enter language, try to submit with an invalid level</t>
  </si>
  <si>
    <t>LanguagesData.json: InvalidLevel</t>
  </si>
  <si>
    <t>Error toast contains 'Please enter'; nothing added</t>
  </si>
  <si>
    <t>LNG_TC_008_InvalidLevel_ShowsError</t>
  </si>
  <si>
    <t>Error toast 'Please enter language and level' shown. Nothing added.</t>
  </si>
  <si>
    <t>LNG_TC_009</t>
  </si>
  <si>
    <t>Empty language name</t>
  </si>
  <si>
    <t>1. Click Add New
2. Leave name empty, choose a level
3. Click Add</t>
  </si>
  <si>
    <t>Level from LanguagesData.json: Add</t>
  </si>
  <si>
    <t>LNG_TC_009_EmptyLanguageName_ShowsError</t>
  </si>
  <si>
    <t>Red toast: 'Please enter language and level'. No record created.</t>
  </si>
  <si>
    <t>LNG_TC_010</t>
  </si>
  <si>
    <t>Cancel while adding</t>
  </si>
  <si>
    <t>1. Click Add New
2. Enter language and level
3. Click Cancel</t>
  </si>
  <si>
    <t>Language is not added to the table</t>
  </si>
  <si>
    <t>LNG_TC_010_CancelAdd_DoesNotAddLanguage</t>
  </si>
  <si>
    <t>No change saved.</t>
  </si>
  <si>
    <t>LNG_TC_011</t>
  </si>
  <si>
    <t>Delete one of several languages</t>
  </si>
  <si>
    <t>Logged in as test user A on localhost:5003; on Profile page; Languages tab; no languages listed; two languages added</t>
  </si>
  <si>
    <t>1. Delete the first language</t>
  </si>
  <si>
    <t>LanguagesData.json: MultipleLanguages[0], [1]</t>
  </si>
  <si>
    <t>First language removed; second still shown</t>
  </si>
  <si>
    <t>LNG_TC_011_DeleteOneLanguage_OthersRemain</t>
  </si>
  <si>
    <t>First language removed. Second language still shown in the table.</t>
  </si>
  <si>
    <t>LNG_TC_012</t>
  </si>
  <si>
    <t>Script / unsafe text as language name</t>
  </si>
  <si>
    <t>1. Click Add New
2. Enter the unsafe text, choose a level
3. Click Add</t>
  </si>
  <si>
    <t>LanguagesData.json: UnsafeInput</t>
  </si>
  <si>
    <t>No script runs (no alert); nothing saved</t>
  </si>
  <si>
    <t>LNG_TC_012_UnsafeInput_ShouldBeRejected</t>
  </si>
  <si>
    <t>Bug: &lt;script&gt;alert(1)&lt;/script&gt; was saved as a language.</t>
  </si>
  <si>
    <t>LNG_TC_013</t>
  </si>
  <si>
    <t>Very long language name</t>
  </si>
  <si>
    <t>1. Click Add New
2. Enter a very long name, choose a level
3. Click Add</t>
  </si>
  <si>
    <t>LanguagesData.json: MassiveNameLength</t>
  </si>
  <si>
    <t>App responds with a toast (success or error); page does not break</t>
  </si>
  <si>
    <t>LNG_TC_013_MassiveLanguageName_HandledGracefully</t>
  </si>
  <si>
    <t>App responded with a toast. Page did not break.</t>
  </si>
  <si>
    <t>NTF_TC_001</t>
  </si>
  <si>
    <t>Send a trade request (user B)</t>
  </si>
  <si>
    <t>User A owns listing 'Mars Notification Listing' (Skill-exchange); user B (second account) has no pending requests; A has no unread notifications</t>
  </si>
  <si>
    <t>1. As B, search for A's listing and open it
2. Type a message, click Request
3. Click Yes in the popup</t>
  </si>
  <si>
    <t>NotificationData.json: RequestMessage</t>
  </si>
  <si>
    <t>Toast 'Request sent'</t>
  </si>
  <si>
    <t>NTF_TC_001_SendRequest_ShowsRequestSentToast</t>
  </si>
  <si>
    <t>Toast 'Request sent' shown.</t>
  </si>
  <si>
    <t>NTF_TC_002</t>
  </si>
  <si>
    <t>Owner sees unread badge</t>
  </si>
  <si>
    <t>1. As B, send a request to A's listing
2. Log in as A
3. Look at the Notification badge</t>
  </si>
  <si>
    <t>NotificationData.json</t>
  </si>
  <si>
    <t>Badge shows 1</t>
  </si>
  <si>
    <t>NTF_TC_002_ReceivedRequest_ShowsUnreadBadge</t>
  </si>
  <si>
    <t>Notification badge shows unread count.</t>
  </si>
  <si>
    <t>NTF_TC_003</t>
  </si>
  <si>
    <t>Owner sees the request message</t>
  </si>
  <si>
    <t>1. As B, send a request
2. Log in as A
3. Open the Notification dropdown</t>
  </si>
  <si>
    <t>NotificationData.json: NotificationText, SenderName</t>
  </si>
  <si>
    <t>'You have Pending trade request from joshmatt.'</t>
  </si>
  <si>
    <t>NTF_TC_003_ReceivedRequest_ShowsNotificationMessage</t>
  </si>
  <si>
    <t>Owner's dropdown shows 'You have Pending trade request from joshmatt.'</t>
  </si>
  <si>
    <t>NTF_TC_004</t>
  </si>
  <si>
    <t>Click a notification</t>
  </si>
  <si>
    <t>1. As B, send a request
2. Log in as A, open the dropdown
3. Click the notification</t>
  </si>
  <si>
    <t>NotificationData.json: SenderName</t>
  </si>
  <si>
    <t>Received Requests page opens</t>
  </si>
  <si>
    <t>NTF_TC_004_ClickNotification_OpensReceivedRequests</t>
  </si>
  <si>
    <t>Received Requests page opened.</t>
  </si>
  <si>
    <t>NTF_TC_005</t>
  </si>
  <si>
    <t>Mark all as read (dropdown)</t>
  </si>
  <si>
    <t>User A owns listing 'Mars Notification Listing' (Skill-exchange); user B (second account) has no pending requests; A has no unread notifications; B has sent a request</t>
  </si>
  <si>
    <t>1. Log in as A, open the dropdown
2. Click Mark all as read</t>
  </si>
  <si>
    <t>None</t>
  </si>
  <si>
    <t>Unread badge disappears</t>
  </si>
  <si>
    <t>NTF_TC_005_MarkAllAsRead_ClearsBadge</t>
  </si>
  <si>
    <t>All notifications marked as read and badge removed.</t>
  </si>
  <si>
    <t>NTF_TC_006</t>
  </si>
  <si>
    <t>See All</t>
  </si>
  <si>
    <t>1. As B, send a request
2. Log in as A, open the dropdown
3. Click See All...</t>
  </si>
  <si>
    <t>Dashboard opens</t>
  </si>
  <si>
    <t>NTF_TC_006_SeeAll_OpensDashboard</t>
  </si>
  <si>
    <t>Dashboard opened.</t>
  </si>
  <si>
    <t>NTF_TC_007</t>
  </si>
  <si>
    <t>Cancel the request popup</t>
  </si>
  <si>
    <t>1. As B, open A's listing, type a message, click Request
2. Click No
3. Log in as A</t>
  </si>
  <si>
    <t>No unread badge</t>
  </si>
  <si>
    <t>NTF_TC_007_CancelRequest_NoNotification</t>
  </si>
  <si>
    <t>No unread badge shown for the owner. No notification created.</t>
  </si>
  <si>
    <t>NTF_TC_008</t>
  </si>
  <si>
    <t>Withdraw notifies the owner</t>
  </si>
  <si>
    <t>1. As B, send a request
2. As B, Sent Requests &gt; Withdraw
3. Log in as A, open the dropdown</t>
  </si>
  <si>
    <t>NotificationData.json: WithdrawText</t>
  </si>
  <si>
    <t>'joshmatt withdraw the skill trade application'</t>
  </si>
  <si>
    <t>NTF_TC_008_WithdrawRequest_NotifiesOwner</t>
  </si>
  <si>
    <t>Owner's dropdown shows 'joshmatt withdraw the skill trade application'.</t>
  </si>
  <si>
    <t>NTF_TC_009</t>
  </si>
  <si>
    <t>Select all</t>
  </si>
  <si>
    <t>User A owns listing 'Mars Notification Listing' (Skill-exchange); user B (second account) has no pending requests; A has no unread notifications; B has sent a request to A's listing; A on Dashboard (See All)</t>
  </si>
  <si>
    <t>1. Click Select all</t>
  </si>
  <si>
    <t>Every row's checkbox is ticked</t>
  </si>
  <si>
    <t>NTF_TC_009_Dashboard_SelectAll_SelectsEveryRow</t>
  </si>
  <si>
    <t>Every row's checkbox ticked.</t>
  </si>
  <si>
    <t>NTF_TC_010</t>
  </si>
  <si>
    <t>Unselect all</t>
  </si>
  <si>
    <t>1. Click Select all
2. Click Unselect all</t>
  </si>
  <si>
    <t>No checkbox ticked</t>
  </si>
  <si>
    <t>NTF_TC_010_Dashboard_UnselectAll_ClearsSelection</t>
  </si>
  <si>
    <t>No checkbox ticked.</t>
  </si>
  <si>
    <t>NTF_TC_011</t>
  </si>
  <si>
    <t>Tick and untick one row</t>
  </si>
  <si>
    <t>1. Tick the first row
2. Untick it</t>
  </si>
  <si>
    <t>1 selected after ticking; 0 after unticking</t>
  </si>
  <si>
    <t>NTF_TC_011_Dashboard_ToggleRow_SelectsThenUnselects</t>
  </si>
  <si>
    <t>Notification selected. Notification unselected.</t>
  </si>
  <si>
    <t>NTF_TC_012</t>
  </si>
  <si>
    <t>Mark selection as read (Dashboard)</t>
  </si>
  <si>
    <t>1. Click Select all
2. Click Mark selection as read
3. Reload the page</t>
  </si>
  <si>
    <t>NTF_TC_012_Dashboard_MarkSelectionAsRead_ClearsBadge</t>
  </si>
  <si>
    <t>Unread badge disappeared.</t>
  </si>
  <si>
    <t>NTF_TC_013</t>
  </si>
  <si>
    <t>Delete all notifications</t>
  </si>
  <si>
    <t>1. Click Select all
2. Click Delete selection
3. Repeat until the list is empty</t>
  </si>
  <si>
    <t>No notification rows left</t>
  </si>
  <si>
    <t>NTF_TC_013_Dashboard_DeleteAll_EmptiesList</t>
  </si>
  <si>
    <t>All notification rows removed. List is empty.</t>
  </si>
  <si>
    <t>NTF_TC_014</t>
  </si>
  <si>
    <t>Go to page opens Received Requests</t>
  </si>
  <si>
    <t>1. On the first notification row, click Go to page
2. Check the page that opens</t>
  </si>
  <si>
    <t>Received Requests page opens (URL contains ReceivedRequest)</t>
  </si>
  <si>
    <t>NTF_TC_014_Dashboard_GoToPage_OpensReceivedRequests</t>
  </si>
  <si>
    <t>NTF_TC_015</t>
  </si>
  <si>
    <t>Load More, then Show Less</t>
  </si>
  <si>
    <t>User A owns listing 'Mars Notification Listing' (Skill-exchange); user B (second account) has no pending requests; A has no unread notifications; B has sent a request to A's listing; A on Dashboard (See All); more than 5 notifications</t>
  </si>
  <si>
    <t>1. On Dashboard, click Load More...
2. Count rows
3. Click ...Show Less
4. Count rows</t>
  </si>
  <si>
    <t>Created by 3 request + withdraw cycles</t>
  </si>
  <si>
    <t>Load More shows more rows than before; Show Less returns to the starting count (5 rows)</t>
  </si>
  <si>
    <t>NTF_TC_015_Dashboard_LoadMoreThenShowLess</t>
  </si>
  <si>
    <t>Bug: dashboard starts at 5 rows, Load More shows 7, Show Less leaves 2 instead of 5 (shows total minus 5). Confirmed with screenshots, 2 Oct 2026.</t>
  </si>
  <si>
    <t>NTF_TC_016</t>
  </si>
  <si>
    <t>Actions hidden with nothing selected</t>
  </si>
  <si>
    <t>1. Make sure no row is ticked
2. Look at the toolbar</t>
  </si>
  <si>
    <t>Only Select all shown; Unselect all, Delete and Mark as read hidden</t>
  </si>
  <si>
    <t>NTF_TC_016_Dashboard_NoSelection_HidesSelectionActions</t>
  </si>
  <si>
    <t>Delete not enabled when no notification selected. Mark as read not enabled when no notification selected.</t>
  </si>
  <si>
    <t>NTF_TC_017</t>
  </si>
  <si>
    <t>Empty state after deleting</t>
  </si>
  <si>
    <t>1. Delete all notifications
2. Open the Notification dropdown</t>
  </si>
  <si>
    <t>'You have no notifications'</t>
  </si>
  <si>
    <t>NTF_TC_017_NoNotifications_ShowsEmptyMessage</t>
  </si>
  <si>
    <t>Dropdown shows 'You have no notifications'.</t>
  </si>
  <si>
    <t>PRF_TC_001</t>
  </si>
  <si>
    <t>Update Availability, Hours and Earn Target together</t>
  </si>
  <si>
    <t>Logged in as test user A on localhost:5003; on Profile page; fields at defaults</t>
  </si>
  <si>
    <t>1. Click edit icon next to Availability and pick a new value
2. Click edit icon next to Hours and pick a new value
3. Click edit icon next to Earn Target and pick a new value</t>
  </si>
  <si>
    <t>AboutMeData.json: Availability, Hours, EarnTarget</t>
  </si>
  <si>
    <t>Toast 'Availability updated' after each save; all three new values shown</t>
  </si>
  <si>
    <t>PRF_TC_001_UpdateAllFields_AllValuesPersist</t>
  </si>
  <si>
    <t>Profile info saved successfully across all three fields.</t>
  </si>
  <si>
    <t>PRF_TC_002</t>
  </si>
  <si>
    <t>Update Availability only; other fields unchanged</t>
  </si>
  <si>
    <t>1. Note current Hours and Earn Target
2. Change Availability
3. Check all three fields</t>
  </si>
  <si>
    <t>AboutMeData.json: Availability</t>
  </si>
  <si>
    <t>Availability shows new value; Hours and Earn Target unchanged</t>
  </si>
  <si>
    <t>PRF_TC_002_UpdateAvailabilityOnly_OtherFieldsUnchanged</t>
  </si>
  <si>
    <t>Saved successfully. Other fields unaffected.</t>
  </si>
  <si>
    <t>PRF_TC_003</t>
  </si>
  <si>
    <t>Update Hours only; other fields unchanged</t>
  </si>
  <si>
    <t>1. Note current Availability and Earn Target
2. Change Hours
3. Check all three fields</t>
  </si>
  <si>
    <t>AboutMeData.json: Hours</t>
  </si>
  <si>
    <t>Hours shows new value; Availability and Earn Target unchanged</t>
  </si>
  <si>
    <t>PRF_TC_003_UpdateHoursOnly_OtherFieldsUnchanged</t>
  </si>
  <si>
    <t>PRF_TC_004</t>
  </si>
  <si>
    <t>Update Earn Target only; other fields unchanged</t>
  </si>
  <si>
    <t>1. Note current Availability and Hours
2. Change Earn Target
3. Check all three fields</t>
  </si>
  <si>
    <t>AboutMeData.json: EarnTarget</t>
  </si>
  <si>
    <t>Earn Target shows new value; Availability and Hours unchanged</t>
  </si>
  <si>
    <t>PRF_TC_004_UpdateEarnTargetOnly_OtherFieldsUnchanged</t>
  </si>
  <si>
    <t>PRF_TC_005</t>
  </si>
  <si>
    <t>Update first and last name</t>
  </si>
  <si>
    <t>Logged in as test user A on localhost:5003; on Profile page; name is 'testing comp'</t>
  </si>
  <si>
    <t>1. Click the arrow next to the name
2. Enter new First Name and Last Name
3. Click Save
4. Refresh the page
5. Change the name back to 'testing comp'</t>
  </si>
  <si>
    <t>AboutMeData.json: NewFirstName, NewLastName</t>
  </si>
  <si>
    <t>New full name shown after refresh</t>
  </si>
  <si>
    <t>PRF_TC_005_UpdateName_ShowsNewName</t>
  </si>
  <si>
    <t>Update Name shows New name and it saves successfully.</t>
  </si>
  <si>
    <t>PRF_TC_006</t>
  </si>
  <si>
    <t>Location is visible but cannot be edited</t>
  </si>
  <si>
    <t>Logged in as test user A on localhost:5003; on Profile page</t>
  </si>
  <si>
    <t>1. Look at the Location row in the About Me card
2. Try to click or edit the value</t>
  </si>
  <si>
    <t>Location label visible; no input or edit control appears</t>
  </si>
  <si>
    <t>PRF_TC_006_LocationIsReadOnly</t>
  </si>
  <si>
    <t>Location cannot be edited. No access to modify, confirmed as intentional app behaviour.</t>
  </si>
  <si>
    <t>SHS_TC_001</t>
  </si>
  <si>
    <t>Hourly, Online, Skill-exchange, Active listing</t>
  </si>
  <si>
    <t>Logged in as test user A on localhost:5003; no listings in Manage Listings; on Share Skill form</t>
  </si>
  <si>
    <t>1. Fill Title, Description, Category, Sub-category, Tags
2. Choose Hourly, Online, Skill-exchange (add exchange tags), Active
3. Click Save
4. Open Manage Listings</t>
  </si>
  <si>
    <t>ShareSkillData.json: ValidHourlySkillExchange</t>
  </si>
  <si>
    <t>Redirects to Manage Listings; the listing title appears exactly once</t>
  </si>
  <si>
    <t>SHS_TC_001_AddHourlySkillExchange_AppearsInListings</t>
  </si>
  <si>
    <t>Skill is saved successfully. Success message displayed. Skill appears in listings.</t>
  </si>
  <si>
    <t>SHS_TC_002</t>
  </si>
  <si>
    <t>One-off, On-site, Credit, Hidden listing</t>
  </si>
  <si>
    <t>1. Fill Title, Description, Category, Sub-category, Tags
2. Choose One-off, On-site, Credit (enter amount), Hidden
3. Click Save</t>
  </si>
  <si>
    <t>ShareSkillData.json: ValidOneOffCredit</t>
  </si>
  <si>
    <t>SHS_TC_002_AddOneOffCredit_AppearsInListings</t>
  </si>
  <si>
    <t>Redirected to Manage Listings. Listing title shown exactly once.</t>
  </si>
  <si>
    <t>SHS_TC_003</t>
  </si>
  <si>
    <t>Save an empty form</t>
  </si>
  <si>
    <t>1. Click Save without filling anything</t>
  </si>
  <si>
    <t>ShareSkillData.json: EmptyForm</t>
  </si>
  <si>
    <t>Error toast 'Please complete the form correctly.'</t>
  </si>
  <si>
    <t>SHS_TC_003_EmptyForm_ShowsError</t>
  </si>
  <si>
    <t>System shows error message and prevents saving.</t>
  </si>
  <si>
    <t>SHS_TC_004</t>
  </si>
  <si>
    <t>Title left empty</t>
  </si>
  <si>
    <t>1. Fill everything except Title
2. Click Save</t>
  </si>
  <si>
    <t>ShareSkillData.json: EmptyTitle</t>
  </si>
  <si>
    <t>Error toast; inline 'Title is required'</t>
  </si>
  <si>
    <t>SHS_TC_004_EmptyTitle_ShowsError</t>
  </si>
  <si>
    <t>Error toast 'Please complete the form correctly' shown. Listing not saved.</t>
  </si>
  <si>
    <t>SHS_TC_005</t>
  </si>
  <si>
    <t>Description left empty</t>
  </si>
  <si>
    <t>1. Fill everything except Description
2. Click Save</t>
  </si>
  <si>
    <t>ShareSkillData.json: EmptyDescription</t>
  </si>
  <si>
    <t>SHS_TC_005_EmptyDescription_ShowsError</t>
  </si>
  <si>
    <t>SHS_TC_006</t>
  </si>
  <si>
    <t>No tags added</t>
  </si>
  <si>
    <t>1. Fill everything except Tags
2. Click Save</t>
  </si>
  <si>
    <t>ShareSkillData.json: NoTags</t>
  </si>
  <si>
    <t>SHS_TC_006_NoTags_ShowsError</t>
  </si>
  <si>
    <t>SHS_TC_007</t>
  </si>
  <si>
    <t>Special characters in Title</t>
  </si>
  <si>
    <t>1. Enter '@#$%^&amp;*()!' as Title, fill the rest
2. Click Save</t>
  </si>
  <si>
    <t>ShareSkillData.json: SpecialCharsTitle</t>
  </si>
  <si>
    <t>Inline 'Special characters are not allowed.'; error toast</t>
  </si>
  <si>
    <t>SHS_TC_007_SpecialCharsTitle_ShowsError</t>
  </si>
  <si>
    <t>SHS_TC_008</t>
  </si>
  <si>
    <t>Special characters in Description</t>
  </si>
  <si>
    <t>1. Enter '@#$%^&amp;*()!' as Description, fill the rest
2. Click Save</t>
  </si>
  <si>
    <t>ShareSkillData.json: SpecialCharsDescription</t>
  </si>
  <si>
    <t>SHS_TC_008_SpecialCharsDescription_ShowsError</t>
  </si>
  <si>
    <t>SHS_TC_009</t>
  </si>
  <si>
    <t>Script tag in Title</t>
  </si>
  <si>
    <t>1. Enter &lt;script&gt;alert('xss')&lt;/script&gt; as Title, fill the rest
2. Click Save</t>
  </si>
  <si>
    <t>ShareSkillData.json: XssTitle</t>
  </si>
  <si>
    <t>No script runs; error toast; nothing saved</t>
  </si>
  <si>
    <t>SHS_TC_009_XssTitle_ShouldBeRejected</t>
  </si>
  <si>
    <t>Error toast shown. No script ran. Listing not saved.</t>
  </si>
  <si>
    <t>SHS_TC_010</t>
  </si>
  <si>
    <t>SQL injection in Description</t>
  </si>
  <si>
    <t>1. Enter ' OR '1'='1'; -- as Description, fill the rest
2. Click Save</t>
  </si>
  <si>
    <t>ShareSkillData.json: SqlInjectionDescription</t>
  </si>
  <si>
    <t>Error toast; nothing saved</t>
  </si>
  <si>
    <t>SHS_TC_010_SqlInjectionDescription_ShouldBeRejected</t>
  </si>
  <si>
    <t>Error toast shown. Listing not saved.</t>
  </si>
  <si>
    <t>SHS_TC_011</t>
  </si>
  <si>
    <t>Title over 100 characters</t>
  </si>
  <si>
    <t>1. Type 101 characters into Title</t>
  </si>
  <si>
    <t>ShareSkillData.json: TitleOverMax</t>
  </si>
  <si>
    <t>Field keeps only 100 characters</t>
  </si>
  <si>
    <t>SHS_TC_011_TitleOverMax_IsCappedAt100</t>
  </si>
  <si>
    <t>System prevents entering 101st character.</t>
  </si>
  <si>
    <t>SHS_TC_012</t>
  </si>
  <si>
    <t>Description over 600 characters</t>
  </si>
  <si>
    <t>1. Type 601 characters into Description</t>
  </si>
  <si>
    <t>ShareSkillData.json: DescriptionOverMax</t>
  </si>
  <si>
    <t>Field keeps only 600 characters</t>
  </si>
  <si>
    <t>SHS_TC_012_DescriptionOverMax_IsCappedAt600</t>
  </si>
  <si>
    <t>System prevents entering 601st character.</t>
  </si>
  <si>
    <t>SHS_TC_013</t>
  </si>
  <si>
    <t>Credit above 10</t>
  </si>
  <si>
    <t>1. Choose Credit
2. Type 11 into the credit field</t>
  </si>
  <si>
    <t>ShareSkillData.json: CreditOverMax</t>
  </si>
  <si>
    <t>Second digit is blocked; field shows '1'</t>
  </si>
  <si>
    <t>SHS_TC_013_CreditOverTen_IsBlocked</t>
  </si>
  <si>
    <t>Typing '11' kept only '1'. Credit above 10 blocked.</t>
  </si>
  <si>
    <t>SHS_TC_014</t>
  </si>
  <si>
    <t>Cancel the form</t>
  </si>
  <si>
    <t>1. Fill the form
2. Click Cancel</t>
  </si>
  <si>
    <t>Returns to Profile; no listing created</t>
  </si>
  <si>
    <t>SHS_TC_014_Cancel_ReturnsToProfile</t>
  </si>
  <si>
    <t>Cancel toast message appeared.</t>
  </si>
  <si>
    <t>SKL_TC_001</t>
  </si>
  <si>
    <t>Add a skill with a level</t>
  </si>
  <si>
    <t>Logged in as test user A on localhost:5003; on Profile page; Skills tab; no skills listed</t>
  </si>
  <si>
    <t>1. Click Add New
2. Enter skill, choose level
3. Click Add</t>
  </si>
  <si>
    <t>SkillsData.json: Add</t>
  </si>
  <si>
    <t>Toast contains 'added'; skill and level shown once in the table</t>
  </si>
  <si>
    <t>SKL_TC_001_AddSkill_ShowsSuccessAndAppears</t>
  </si>
  <si>
    <t>Record added and displayed in Skills list. Blue toast confirmed.</t>
  </si>
  <si>
    <t>SKL_TC_002</t>
  </si>
  <si>
    <t>Change a skill's level</t>
  </si>
  <si>
    <t>Logged in as test user A on localhost:5003; on Profile page; Skills tab; no skills listed; one skill added</t>
  </si>
  <si>
    <t>SkillsData.json: Update</t>
  </si>
  <si>
    <t>SKL_TC_002_UpdateSkill_ChangesLevel</t>
  </si>
  <si>
    <t>Skill updated and displayed correctly in list.</t>
  </si>
  <si>
    <t>SKL_TC_003</t>
  </si>
  <si>
    <t>Delete a skill</t>
  </si>
  <si>
    <t>SkillsData.json: Delete</t>
  </si>
  <si>
    <t>SKL_TC_003_DeleteSkill_RemovesRow</t>
  </si>
  <si>
    <t>Record deleted successfully; confirmation message displayed.</t>
  </si>
  <si>
    <t>SKL_TC_004</t>
  </si>
  <si>
    <t>Add several skills</t>
  </si>
  <si>
    <t>1. Add each skill in the data set</t>
  </si>
  <si>
    <t>SkillsData.json: MultipleSkills</t>
  </si>
  <si>
    <t>SKL_TC_004_AddMultipleSkills_ShowsTotalCount</t>
  </si>
  <si>
    <t>Both records saved uniquely and displayed in Skills list.</t>
  </si>
  <si>
    <t>SKL_TC_005</t>
  </si>
  <si>
    <t>Duplicate skill is rejected</t>
  </si>
  <si>
    <t>1. Add a skill
2. Add the same skill and level again</t>
  </si>
  <si>
    <t>SkillsData.json: Duplicate</t>
  </si>
  <si>
    <t>Error toast contains 'already'; skill appears only once</t>
  </si>
  <si>
    <t>SKL_TC_005_DuplicateSkill_ShowsError</t>
  </si>
  <si>
    <t>System displays error 'Skill already exists'.</t>
  </si>
  <si>
    <t>SKL_TC_006</t>
  </si>
  <si>
    <t>Same skill in different case</t>
  </si>
  <si>
    <t>1. Add a skill, e.g. 'Jira'
2. Add it again in lower case</t>
  </si>
  <si>
    <t>SkillsData.json: CaseInsensitiveDuplicate</t>
  </si>
  <si>
    <t>SKL_TC_006_CaseInsensitiveDuplicate_IsAccepted</t>
  </si>
  <si>
    <t>'JAVA' was accepted as a new skill after 'Java'. Matches current behaviour; the defect is logged on the Known Issues sheet.</t>
  </si>
  <si>
    <t>SKL_TC_007</t>
  </si>
  <si>
    <t>Script / unsafe text as skill name</t>
  </si>
  <si>
    <t>SkillsData.json: UnsafeInput</t>
  </si>
  <si>
    <t>SKL_TC_007_UnsafeInput_ShouldBeRejected</t>
  </si>
  <si>
    <t>Bug: &lt;script&gt;alert(1)&lt;/script&gt; was saved as a skill.</t>
  </si>
  <si>
    <t>SKL_TC_008</t>
  </si>
  <si>
    <t>Empty skill name</t>
  </si>
  <si>
    <t>Level from SkillsData.json: Add</t>
  </si>
  <si>
    <t>Error toast 'Please enter skill and experience level'; nothing added</t>
  </si>
  <si>
    <t>SKL_TC_008_EmptySkillName_ShowsError</t>
  </si>
  <si>
    <t>Red toast: 'Please enter skill and experience level'.</t>
  </si>
  <si>
    <t>SKL_TC_009</t>
  </si>
  <si>
    <t>1. Click Add New
2. Enter skill and level
3. Click Cancel</t>
  </si>
  <si>
    <t>Skill is not added to the table</t>
  </si>
  <si>
    <t>SKL_TC_009_CancelAdd_DoesNotAddSkill</t>
  </si>
  <si>
    <t>SKL_TC_010</t>
  </si>
  <si>
    <t>Delete one of several skills</t>
  </si>
  <si>
    <t>Logged in as test user A on localhost:5003; on Profile page; Skills tab; no skills listed; two skills added</t>
  </si>
  <si>
    <t>1. Delete the first skill</t>
  </si>
  <si>
    <t>SkillsData.json: MultipleSkills[0], [1]</t>
  </si>
  <si>
    <t>First skill removed; second still shown</t>
  </si>
  <si>
    <t>SKL_TC_010_DeleteOneSkill_OthersRemain</t>
  </si>
  <si>
    <t>First skill removed. Second skill still shown in the table.</t>
  </si>
  <si>
    <t>SKL_TC_011</t>
  </si>
  <si>
    <t>Very long skill name</t>
  </si>
  <si>
    <t>SkillsData.json: MassiveNameLength</t>
  </si>
  <si>
    <t>SKL_TC_011_MassiveSkillName_HandledGracefully</t>
  </si>
  <si>
    <t>SRS_TC_001</t>
  </si>
  <si>
    <t>Search by exact title (Enter)</t>
  </si>
  <si>
    <t>Logged in as test user A on localhost:5003; exactly one listing exists: 'Mars Search Automation Listing' (Software Development &gt; Programming, Online, Active)</t>
  </si>
  <si>
    <t>1. Type the title in the top-bar Search skills box
2. Press Enter</t>
  </si>
  <si>
    <t>SearchSkillData.json: Listing.Title</t>
  </si>
  <si>
    <t>Listing shown once in results</t>
  </si>
  <si>
    <t>SRS_TC_001_SearchExactTitle_ShowsListing</t>
  </si>
  <si>
    <t>Listing shown once in the results.</t>
  </si>
  <si>
    <t>SRS_TC_002</t>
  </si>
  <si>
    <t>Search by clicking the search icon</t>
  </si>
  <si>
    <t>1. Type the title
2. Click the magnifier icon</t>
  </si>
  <si>
    <t>SRS_TC_002_SearchByIcon_ShowsListing</t>
  </si>
  <si>
    <t>Matching skills displayed.</t>
  </si>
  <si>
    <t>SRS_TC_003</t>
  </si>
  <si>
    <t>Search by part of the title</t>
  </si>
  <si>
    <t>1. Search for part of the title</t>
  </si>
  <si>
    <t>SearchSkillData.json: PartialTitle</t>
  </si>
  <si>
    <t>Listing shown in results</t>
  </si>
  <si>
    <t>SRS_TC_003_SearchPartialTitle_ShowsListing</t>
  </si>
  <si>
    <t>Skills containing keyword shown.</t>
  </si>
  <si>
    <t>SRS_TC_004</t>
  </si>
  <si>
    <t>Search in lower case</t>
  </si>
  <si>
    <t>1. Search for the title in lower case</t>
  </si>
  <si>
    <t>SearchSkillData.json: DifferentCaseTitle</t>
  </si>
  <si>
    <t>SRS_TC_004_SearchDifferentCase_ShowsListing</t>
  </si>
  <si>
    <t>Same results shown.</t>
  </si>
  <si>
    <t>SRS_TC_005</t>
  </si>
  <si>
    <t>Category count</t>
  </si>
  <si>
    <t>1. Search for the title
2. Read the count next to Software Development</t>
  </si>
  <si>
    <t>SearchSkillData.json: Category, ExpectedCategoryCount</t>
  </si>
  <si>
    <t>Count shows 1</t>
  </si>
  <si>
    <t>SRS_TC_005_CategoryCount_ShowsOne</t>
  </si>
  <si>
    <t>Category count shows 1.</t>
  </si>
  <si>
    <t>SRS_TC_006</t>
  </si>
  <si>
    <t>Filter by category</t>
  </si>
  <si>
    <t>1. Search for the title
2. Click Software Development</t>
  </si>
  <si>
    <t>SearchSkillData.json: Category</t>
  </si>
  <si>
    <t>Listing still shown</t>
  </si>
  <si>
    <t>SRS_TC_006_FilterCategory_ShowsListing</t>
  </si>
  <si>
    <t>Only category skills displayed.</t>
  </si>
  <si>
    <t>SRS_TC_007</t>
  </si>
  <si>
    <t>Filter by sub-category</t>
  </si>
  <si>
    <t>1. Search for the title
2. Click Software Development
3. Click Programming</t>
  </si>
  <si>
    <t>SearchSkillData.json: SubCategory</t>
  </si>
  <si>
    <t>SRS_TC_007_FilterSubCategory_ShowsListing</t>
  </si>
  <si>
    <t>Sub-category skills shown correctly.</t>
  </si>
  <si>
    <t>SRS_TC_008</t>
  </si>
  <si>
    <t>Online filter</t>
  </si>
  <si>
    <t>1. Search for the title
2. Click Online</t>
  </si>
  <si>
    <t>SearchSkillData.json: OnlineFilter</t>
  </si>
  <si>
    <t>Online listing still shown</t>
  </si>
  <si>
    <t>SRS_TC_008_FilterOnline_ShowsListing</t>
  </si>
  <si>
    <t>Only online / on-site skills shown per selection.</t>
  </si>
  <si>
    <t>SRS_TC_009</t>
  </si>
  <si>
    <t>Text that matches nothing</t>
  </si>
  <si>
    <t>1. Search for 'zzqqxx'</t>
  </si>
  <si>
    <t>SearchSkillData.json: NoMatchText</t>
  </si>
  <si>
    <t>'No results found' message</t>
  </si>
  <si>
    <t>SRS_TC_009_SearchNoMatch_ShowsNoResults</t>
  </si>
  <si>
    <t>No results message shown.</t>
  </si>
  <si>
    <t>SRS_TC_010</t>
  </si>
  <si>
    <t>Different category hides the listing</t>
  </si>
  <si>
    <t>1. Search for the title
2. Click Data Science</t>
  </si>
  <si>
    <t>SearchSkillData.json: OtherCategory</t>
  </si>
  <si>
    <t>'No results found, please select a new category!'</t>
  </si>
  <si>
    <t>SRS_TC_010_FilterOtherCategory_ShowsNoResults</t>
  </si>
  <si>
    <t>'No results found, please select a new category!' shown.</t>
  </si>
  <si>
    <t>SRS_TC_011</t>
  </si>
  <si>
    <t>Onsite hides an Online listing</t>
  </si>
  <si>
    <t>1. Search for the title
2. Click Onsite</t>
  </si>
  <si>
    <t>SearchSkillData.json: OnsiteFilter</t>
  </si>
  <si>
    <t>SRS_TC_011_FilterOnsite_ShowsNoResults</t>
  </si>
  <si>
    <t>'No results found' shown. Online listing hidden.</t>
  </si>
  <si>
    <t>SRS_TC_012</t>
  </si>
  <si>
    <t>Hidden listing is not searchable</t>
  </si>
  <si>
    <t>Logged in as test user A on localhost:5003; exactly one listing exists: 'Mars Search Automation Listing' (Software Development &gt; Programming, Online, Active); plus a Hidden listing</t>
  </si>
  <si>
    <t>1. Search for the Hidden listing's title</t>
  </si>
  <si>
    <t>SearchSkillData.json: HiddenListing</t>
  </si>
  <si>
    <t>SRS_TC_012_HiddenListing_ShowsNoResults</t>
  </si>
  <si>
    <t>'No results found' shown. Hidden listing not searchable.</t>
  </si>
  <si>
    <t>SRS_TC_013</t>
  </si>
  <si>
    <t>Script tag in the search box</t>
  </si>
  <si>
    <t>1. Search for &lt;script&gt;alert('xss')&lt;/script&gt;</t>
  </si>
  <si>
    <t>SearchSkillData.json: UnsafeText</t>
  </si>
  <si>
    <t>No script runs; 'No results found' message</t>
  </si>
  <si>
    <t>SRS_TC_013_UnsafeSearchText_ShowsNoResults</t>
  </si>
  <si>
    <t>Input sanitised. No execution.</t>
  </si>
  <si>
    <t>SRS_TC_014</t>
  </si>
  <si>
    <t>Search by user</t>
  </si>
  <si>
    <t>1. Search for the title
2. In 'Search user', type the seller name and pick it</t>
  </si>
  <si>
    <t>SearchSkillData.json: SellerName</t>
  </si>
  <si>
    <t>Seller's listing shown in results</t>
  </si>
  <si>
    <t>SRS_TC_014_SearchUser_ShowsListing</t>
  </si>
  <si>
    <t>Seller's listing shown in the results.</t>
  </si>
  <si>
    <t>SRS_TC_015</t>
  </si>
  <si>
    <t>All Categories</t>
  </si>
  <si>
    <t>1. Search for the title
2. Click Software Development
3. Click All Categories</t>
  </si>
  <si>
    <t>Listing shown</t>
  </si>
  <si>
    <t>SRS_TC_015_AllCategories_ShowsListing</t>
  </si>
  <si>
    <t>Listing shown again after selecting All Categories.</t>
  </si>
  <si>
    <t>SRS_TC_016</t>
  </si>
  <si>
    <t>ShowAll after Onsite</t>
  </si>
  <si>
    <t>1. Search for the title
2. Click Onsite
3. Click ShowAll</t>
  </si>
  <si>
    <t>SearchSkillData.json: OnsiteFilter, ShowAllFilter</t>
  </si>
  <si>
    <t>Listing shown again</t>
  </si>
  <si>
    <t>SRS_TC_016_FilterShowAll_ShowsListing</t>
  </si>
  <si>
    <t>Listing shown again after ShowAll.</t>
  </si>
  <si>
    <t>SRS_TC_017</t>
  </si>
  <si>
    <t>Open a result</t>
  </si>
  <si>
    <t>1. Search for the title
2. Click the result card</t>
  </si>
  <si>
    <t>Listing detail page opens (URL contains ServiceDetail)</t>
  </si>
  <si>
    <t>SRS_TC_017_OpenResult_ShowsServiceDetail</t>
  </si>
  <si>
    <t>Service booking page opened successfully.</t>
  </si>
  <si>
    <t>SRS_TC_018</t>
  </si>
  <si>
    <t>Search with trailing spaces</t>
  </si>
  <si>
    <t>1. Search for the title followed by spaces</t>
  </si>
  <si>
    <t>SearchSkillData.json: TrimmedTitle</t>
  </si>
  <si>
    <t>SRS_TC_018_SearchTrimmedTitle_ShowsListing</t>
  </si>
  <si>
    <t>Listing shown in the results. Trailing spaces ignored.</t>
  </si>
  <si>
    <t>SRS_TC_019</t>
  </si>
  <si>
    <t>Special characters only</t>
  </si>
  <si>
    <t>1. Search for '@#$%^&amp;*'</t>
  </si>
  <si>
    <t>SearchSkillData.json: SpecialCharsText</t>
  </si>
  <si>
    <t>SRS_TC_019_SearchSpecialChars_ShowsNoResults</t>
  </si>
  <si>
    <t>'No results found' shown.</t>
  </si>
  <si>
    <t>SRS_TC_020</t>
  </si>
  <si>
    <t>Very long search text</t>
  </si>
  <si>
    <t>1. Search for a 5000-character string</t>
  </si>
  <si>
    <t>SearchSkillData.json: HugePayloadLength</t>
  </si>
  <si>
    <t>Page does not break; 'No results found' message</t>
  </si>
  <si>
    <t>SRS_TC_020_SearchHugePayload_ShowsNoResults</t>
  </si>
  <si>
    <t>No breakdown. App remains stable.</t>
  </si>
  <si>
    <t>Area</t>
  </si>
  <si>
    <t>Category</t>
  </si>
  <si>
    <t>Why</t>
  </si>
  <si>
    <t>Note / Next step</t>
  </si>
  <si>
    <t>Share Skills: Available days (scheduler)</t>
  </si>
  <si>
    <t>Not automated</t>
  </si>
  <si>
    <t>The event popup's Save does not close and the event is not saved, so the result cannot be verified.</t>
  </si>
  <si>
    <t>Known issue. Checked manually: double-click a slot, fill Title/Start/End, click Save; popup stays open.</t>
  </si>
  <si>
    <t>Share Skills: Work Samples upload</t>
  </si>
  <si>
    <t>Optional field. Clicking + opens the OS file dialog, which Selenium cannot drive; the hidden file input was not confirmed.</t>
  </si>
  <si>
    <t>Test manually with a small image file.</t>
  </si>
  <si>
    <t>Languages / Skills: case-insensitive duplicates</t>
  </si>
  <si>
    <t>Known issue</t>
  </si>
  <si>
    <t>The app accepts 'jira' after 'Jira' (and the same for languages) as a new entry. LNG_TC_007 and SKL_TC_006 pass because they record this current behaviour.</t>
  </si>
  <si>
    <t>Report as a defect. If the app is fixed, change both tests to expect the duplicate to be rejected.</t>
  </si>
  <si>
    <t>Profile: Location</t>
  </si>
  <si>
    <t>Observation</t>
  </si>
  <si>
    <t>Location is shown on the profile but has no edit control. Confirmed as intended app behaviour, not a defect.</t>
  </si>
  <si>
    <t>Covered by PRF_TC_006, which checks Location is visible and read-only.</t>
  </si>
  <si>
    <t>Share Skills: Credit field</t>
  </si>
  <si>
    <t>Field has maxlength=4 but the app only allows values 0 to 10.</t>
  </si>
  <si>
    <t>Minor inconsistency to report.</t>
  </si>
  <si>
    <t>Notifications: real-time delivery</t>
  </si>
  <si>
    <t>Tests reload / log in again to see new notifications; live update without a refresh is not checked.</t>
  </si>
  <si>
    <t>Manual check with two browsers side by side.</t>
  </si>
  <si>
    <t>Destructive: high volume / load</t>
  </si>
  <si>
    <t>Not feasible</t>
  </si>
  <si>
    <t>Creating very large numbers of listings, requests or notifications on the shared test environment is not practical; belongs to performance testing (Part 2, JMeter).</t>
  </si>
  <si>
    <t>Will be covered in Part 2.</t>
  </si>
  <si>
    <t>Notifications: Load More setup</t>
  </si>
  <si>
    <t>Confirmed</t>
  </si>
  <si>
    <t>NTF_TC_015 relies on user B being able to request the same listing again after withdrawing.</t>
  </si>
  <si>
    <t>Confirmed in the 2 Oct 2026 run: the dashboard had 7 notifications after 3 request + withdraw cycles.</t>
  </si>
  <si>
    <t>Notifications: Dashboard Show Less</t>
  </si>
  <si>
    <t>Show Less shows the wrong number of rows. Steps: open Dashboard with more than 5 notifications (5 shown), click Load More... (7 shown), click ...Show Less. Expected 5 rows; actual 2 (total minus 5).</t>
  </si>
  <si>
    <t>Report as a defect (Medium). NTF_TC_015 is marked [Ignore] with this reason, so it is skipped in automated runs until the app is fixed. Evidence: three screenshots.</t>
  </si>
  <si>
    <t>Languages / Skills: unsafe input saved</t>
  </si>
  <si>
    <t>A script tag (&lt;script&gt;alert(1)&lt;/script&gt;) is saved as a language and as a skill. An &lt;img src=x onerror=alert(...)&gt; payload ran a JavaScript alert on Add for both (BUG-LNG-011, BUG-SKL-012, Critical). Share Skill rejects the same kind of input (SHS_TC_009 / SHS_TC_010 pass).</t>
  </si>
  <si>
    <t>Report as a security defect. LNG_TC_012 and SKL_TC_007 are marked [Ignore] with this reason, so they are skipped in automated runs until the app is fixed.</t>
  </si>
  <si>
    <t>Search Skills: filter buttons in a small window</t>
  </si>
  <si>
    <t>When Onsite leaves no results, the results column overlaps the Online / Onsite / ShowAll buttons in the small test browser window, so a normal Selenium click lands on the column.</t>
  </si>
  <si>
    <t>SelectLocationFilter uses a JavaScript click, with a comment explaining why. SRS_TC_016 passes.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</si>
</sst>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sz val="10.5"/>
      <color rgb="FF262626"/>
      <name val="Calibri"/>
      <charset val="1"/>
    </font>
    <font>
      <b/>
      <sz val="12"/>
      <color rgb="FF0F5257"/>
      <name val="Calibri"/>
      <charset val="1"/>
    </font>
    <font>
      <b/>
      <sz val="9"/>
      <color rgb="FF7F7F7F"/>
      <name val="Calibri"/>
      <family val="2"/>
      <charset val="1"/>
    </font>
    <font>
      <b/>
      <sz val="10.5"/>
      <color rgb="FF595959"/>
      <name val="Calibri"/>
      <family val="2"/>
      <charset val="1"/>
    </font>
    <font>
      <b/>
      <sz val="24"/>
      <color rgb="FF353E40"/>
      <name val="Calibri"/>
      <family val="2"/>
      <charset val="1"/>
    </font>
    <font>
      <b/>
      <sz val="24"/>
      <color rgb="FF548235"/>
      <name val="Calibri"/>
      <family val="2"/>
      <charset val="1"/>
    </font>
    <font>
      <b/>
      <sz val="24"/>
      <color rgb="FFC00000"/>
      <name val="Calibri"/>
      <family val="2"/>
      <charset val="1"/>
    </font>
    <font>
      <b/>
      <sz val="24"/>
      <color rgb="FF1A9C9C"/>
      <name val="Calibri"/>
      <family val="2"/>
      <charset val="1"/>
    </font>
    <font>
      <b/>
      <sz val="24"/>
      <color rgb="FF0F5257"/>
      <name val="Calibri"/>
      <family val="2"/>
      <charset val="1"/>
    </font>
    <font>
      <i/>
      <sz val="8.5"/>
      <color rgb="FF7F7F7F"/>
      <name val="Calibri"/>
      <family val="2"/>
      <charset val="1"/>
    </font>
    <font>
      <b/>
      <sz val="10.5"/>
      <color rgb="FFFFFFFF"/>
      <name val="Calibri"/>
      <charset val="1"/>
    </font>
    <font>
      <b/>
      <sz val="10.5"/>
      <color rgb="FF353E40"/>
      <name val="Calibri"/>
      <charset val="1"/>
    </font>
    <font>
      <sz val="9"/>
      <color rgb="FF7F7F7F"/>
      <name val="Calibri"/>
      <charset val="1"/>
    </font>
    <font>
      <b/>
      <sz val="10.5"/>
      <color rgb="FF262626"/>
      <name val="Calibri"/>
      <charset val="1"/>
    </font>
    <font>
      <b/>
      <sz val="10"/>
      <color rgb="FFFFFFFF"/>
      <name val="Calibri"/>
      <charset val="1"/>
    </font>
    <font>
      <b/>
      <sz val="10"/>
      <color rgb="FF0F5257"/>
      <name val="Calibri"/>
      <charset val="1"/>
    </font>
    <font>
      <sz val="10"/>
      <color rgb="FF262626"/>
      <name val="Calibri"/>
      <charset val="1"/>
    </font>
    <font>
      <sz val="9"/>
      <color rgb="FF595959"/>
      <name val="Consolas"/>
      <charset val="1"/>
    </font>
    <font>
      <b/>
      <sz val="10"/>
      <color rgb="FF262626"/>
      <name val="Calibri"/>
      <charset val="1"/>
    </font>
    <font>
      <sz val="10"/>
      <color rgb="FF262626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53E40"/>
        <bgColor rgb="FF404040"/>
      </patternFill>
    </fill>
    <fill>
      <patternFill patternType="solid">
        <fgColor rgb="FF1A9C9C"/>
        <bgColor rgb="FF3E9E98"/>
      </patternFill>
    </fill>
    <fill>
      <patternFill patternType="solid">
        <fgColor rgb="FFF7F8F8"/>
        <bgColor rgb="FFF4F9F9"/>
      </patternFill>
    </fill>
    <fill>
      <patternFill patternType="solid">
        <fgColor rgb="FF0F5257"/>
        <bgColor rgb="FF353E40"/>
      </patternFill>
    </fill>
    <fill>
      <patternFill patternType="solid">
        <fgColor rgb="FFECEFEF"/>
        <bgColor rgb="FFEDEDED"/>
      </patternFill>
    </fill>
  </fills>
  <borders count="13">
    <border>
      <left/>
      <right/>
      <top/>
      <bottom/>
      <diagonal/>
    </border>
    <border>
      <left style="thin">
        <color rgb="FFDADFE0"/>
      </left>
      <right style="thin">
        <color rgb="FFDADFE0"/>
      </right>
      <top style="thick">
        <color rgb="FF353E40"/>
      </top>
      <bottom/>
      <diagonal/>
    </border>
    <border>
      <left style="thin">
        <color rgb="FFDADFE0"/>
      </left>
      <right style="thin">
        <color rgb="FFDADFE0"/>
      </right>
      <top style="thick">
        <color rgb="FF548235"/>
      </top>
      <bottom/>
      <diagonal/>
    </border>
    <border>
      <left style="thin">
        <color rgb="FFDADFE0"/>
      </left>
      <right style="thin">
        <color rgb="FFDADFE0"/>
      </right>
      <top style="thick">
        <color rgb="FFC00000"/>
      </top>
      <bottom/>
      <diagonal/>
    </border>
    <border>
      <left style="thin">
        <color rgb="FFDADFE0"/>
      </left>
      <right style="thin">
        <color rgb="FFDADFE0"/>
      </right>
      <top style="thick">
        <color rgb="FF1A9C9C"/>
      </top>
      <bottom/>
      <diagonal/>
    </border>
    <border>
      <left style="thin">
        <color rgb="FFDADFE0"/>
      </left>
      <right style="thin">
        <color rgb="FFDADFE0"/>
      </right>
      <top style="thick">
        <color rgb="FF0F5257"/>
      </top>
      <bottom/>
      <diagonal/>
    </border>
    <border>
      <left style="thin">
        <color rgb="FFDADFE0"/>
      </left>
      <right style="thin">
        <color rgb="FFDADFE0"/>
      </right>
      <top/>
      <bottom/>
      <diagonal/>
    </border>
    <border>
      <left style="thin">
        <color rgb="FFDADFE0"/>
      </left>
      <right style="thin">
        <color rgb="FFDADFE0"/>
      </right>
      <top/>
      <bottom style="thin">
        <color rgb="FFDADFE0"/>
      </bottom>
      <diagonal/>
    </border>
    <border>
      <left/>
      <right/>
      <top/>
      <bottom style="thin">
        <color rgb="FFD8E3E2"/>
      </bottom>
      <diagonal/>
    </border>
    <border>
      <left/>
      <right/>
      <top style="thin">
        <color rgb="FFD8E3E2"/>
      </top>
      <bottom style="thin">
        <color rgb="FFD8E3E2"/>
      </bottom>
      <diagonal/>
    </border>
    <border>
      <left/>
      <right/>
      <top style="thin">
        <color rgb="FFD8E3E2"/>
      </top>
      <bottom style="medium">
        <color rgb="FFD8E3E2"/>
      </bottom>
      <diagonal/>
    </border>
    <border>
      <left/>
      <right/>
      <top style="medium">
        <color rgb="FF353E40"/>
      </top>
      <bottom/>
      <diagonal/>
    </border>
    <border>
      <left style="thin">
        <color rgb="FFD8E3E2"/>
      </left>
      <right style="thin">
        <color rgb="FFD8E3E2"/>
      </right>
      <top style="thin">
        <color rgb="FFD8E3E2"/>
      </top>
      <bottom style="thin">
        <color rgb="FFD8E3E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1" fillId="4" borderId="7" xfId="0" applyFont="1" applyFill="1" applyBorder="1" applyAlignment="1">
      <alignment horizontal="center" vertical="center" wrapText="1"/>
    </xf>
    <xf numFmtId="9" fontId="10" fillId="4" borderId="6" xfId="0" applyNumberFormat="1" applyFont="1" applyFill="1" applyBorder="1" applyAlignment="1">
      <alignment horizontal="center" vertical="center"/>
    </xf>
    <xf numFmtId="9" fontId="9" fillId="4" borderId="6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2" fillId="5" borderId="0" xfId="0" applyFont="1" applyFill="1" applyAlignment="1">
      <alignment vertical="center" wrapText="1" indent="1"/>
    </xf>
    <xf numFmtId="0" fontId="12" fillId="5" borderId="0" xfId="0" applyFont="1" applyFill="1" applyAlignment="1">
      <alignment horizontal="center" vertical="center" wrapText="1"/>
    </xf>
    <xf numFmtId="0" fontId="2" fillId="0" borderId="8" xfId="0" applyFont="1" applyBorder="1" applyAlignment="1">
      <alignment vertical="center" wrapText="1" inden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 inden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 indent="1"/>
    </xf>
    <xf numFmtId="0" fontId="2" fillId="0" borderId="10" xfId="0" applyFont="1" applyBorder="1" applyAlignment="1">
      <alignment horizontal="center" vertical="center" wrapText="1"/>
    </xf>
    <xf numFmtId="0" fontId="13" fillId="6" borderId="11" xfId="0" applyFont="1" applyFill="1" applyBorder="1" applyAlignment="1">
      <alignment vertical="top" wrapText="1" indent="1"/>
    </xf>
    <xf numFmtId="0" fontId="13" fillId="6" borderId="1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 indent="1"/>
    </xf>
    <xf numFmtId="0" fontId="2" fillId="0" borderId="0" xfId="0" applyFont="1" applyAlignment="1">
      <alignment horizontal="center" vertical="top" wrapText="1"/>
    </xf>
    <xf numFmtId="0" fontId="14" fillId="0" borderId="8" xfId="0" applyFont="1" applyBorder="1" applyAlignment="1">
      <alignment vertical="center" indent="1" shrinkToFit="1"/>
    </xf>
    <xf numFmtId="0" fontId="14" fillId="0" borderId="9" xfId="0" applyFont="1" applyBorder="1" applyAlignment="1">
      <alignment vertical="center" indent="1" shrinkToFit="1"/>
    </xf>
    <xf numFmtId="0" fontId="2" fillId="0" borderId="0" xfId="0" applyFont="1" applyAlignment="1">
      <alignment inden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5" borderId="12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0" fontId="17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horizontal="left" vertical="top" wrapText="1"/>
    </xf>
    <xf numFmtId="0" fontId="19" fillId="0" borderId="12" xfId="0" applyFont="1" applyBorder="1" applyAlignment="1">
      <alignment vertical="top" wrapText="1"/>
    </xf>
    <xf numFmtId="0" fontId="18" fillId="0" borderId="12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20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EDEDED"/>
        </patternFill>
      </fill>
    </dxf>
    <dxf>
      <font>
        <color rgb="FF0F5257"/>
      </font>
      <fill>
        <patternFill>
          <bgColor rgb="FFDDEFEE"/>
        </patternFill>
      </fill>
    </dxf>
    <dxf>
      <font>
        <color rgb="FF353E40"/>
      </font>
      <fill>
        <patternFill>
          <bgColor rgb="FFE6E9EA"/>
        </patternFill>
      </fill>
    </dxf>
    <dxf>
      <font>
        <color rgb="FFC00000"/>
      </font>
      <fill>
        <patternFill>
          <bgColor rgb="FFFFD7D7"/>
        </patternFill>
      </fill>
    </dxf>
    <dxf>
      <fill>
        <patternFill>
          <bgColor rgb="FFF4F9F9"/>
        </patternFill>
      </fill>
    </dxf>
    <dxf>
      <font>
        <color rgb="FF595959"/>
      </font>
      <fill>
        <patternFill>
          <bgColor rgb="FFEDEDE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C00000"/>
      </font>
      <fill>
        <patternFill>
          <bgColor rgb="FFFFD7D7"/>
        </patternFill>
      </fill>
    </dxf>
    <dxf>
      <font>
        <color rgb="FF375623"/>
      </font>
      <fill>
        <patternFill>
          <bgColor rgb="FFE2EFDA"/>
        </patternFill>
      </fill>
    </dxf>
    <dxf>
      <font>
        <b/>
        <color rgb="FF353E40"/>
      </font>
    </dxf>
    <dxf>
      <font>
        <b/>
        <color rgb="FF6B7B7D"/>
      </font>
    </dxf>
    <dxf>
      <font>
        <b/>
        <color rgb="FF3E9E98"/>
      </font>
    </dxf>
    <dxf>
      <font>
        <b/>
        <color rgb="FF1A9C9C"/>
      </font>
    </dxf>
    <dxf>
      <font>
        <b/>
        <color rgb="FF0F5257"/>
      </font>
    </dxf>
    <dxf>
      <fill>
        <patternFill>
          <bgColor rgb="FFF4F9F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DEDED"/>
      <rgbColor rgb="FFFF00FF"/>
      <rgbColor rgb="FF00FFFF"/>
      <rgbColor rgb="FF800000"/>
      <rgbColor rgb="FF548235"/>
      <rgbColor rgb="FF000080"/>
      <rgbColor rgb="FF7F6000"/>
      <rgbColor rgb="FF800080"/>
      <rgbColor rgb="FF1A9C9C"/>
      <rgbColor rgb="FFD9D9D9"/>
      <rgbColor rgb="FF7F7F7F"/>
      <rgbColor rgb="FFE6E9EA"/>
      <rgbColor rgb="FF595959"/>
      <rgbColor rgb="FFFFF2CC"/>
      <rgbColor rgb="FFDDEFEE"/>
      <rgbColor rgb="FF660066"/>
      <rgbColor rgb="FFFF8080"/>
      <rgbColor rgb="FF0066CC"/>
      <rgbColor rgb="FFCDD3D4"/>
      <rgbColor rgb="FF000080"/>
      <rgbColor rgb="FFFF00FF"/>
      <rgbColor rgb="FFF4F9F9"/>
      <rgbColor rgb="FF00FFFF"/>
      <rgbColor rgb="FF800080"/>
      <rgbColor rgb="FF800000"/>
      <rgbColor rgb="FF008080"/>
      <rgbColor rgb="FF0000FF"/>
      <rgbColor rgb="FF00CCFF"/>
      <rgbColor rgb="FFECEFEF"/>
      <rgbColor rgb="FFE2EFDA"/>
      <rgbColor rgb="FFF7F8F8"/>
      <rgbColor rgb="FF86CBC6"/>
      <rgbColor rgb="FFD8E3E2"/>
      <rgbColor rgb="FFDADFE0"/>
      <rgbColor rgb="FFFFD7D7"/>
      <rgbColor rgb="FF4F81BD"/>
      <rgbColor rgb="FF33CCCC"/>
      <rgbColor rgb="FF70AD47"/>
      <rgbColor rgb="FFFFC000"/>
      <rgbColor rgb="FFFF9900"/>
      <rgbColor rgb="FFFF6600"/>
      <rgbColor rgb="FF7F6084"/>
      <rgbColor rgb="FF6B7B7D"/>
      <rgbColor rgb="FF0F5257"/>
      <rgbColor rgb="FF3E9E98"/>
      <rgbColor rgb="FF375623"/>
      <rgbColor rgb="FF262626"/>
      <rgbColor rgb="FF993300"/>
      <rgbColor rgb="FF993366"/>
      <rgbColor rgb="FF404040"/>
      <rgbColor rgb="FF353E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300" b="1" strike="noStrike" spc="-1">
                <a:solidFill>
                  <a:srgbClr val="353E40"/>
                </a:solidFill>
                <a:latin typeface="Calibri"/>
                <a:ea typeface="Calibri"/>
              </a:defRPr>
            </a:pPr>
            <a:r>
              <a:rPr lang="en-US" sz="1300" b="1" strike="noStrike" spc="-1">
                <a:solidFill>
                  <a:srgbClr val="353E40"/>
                </a:solidFill>
                <a:latin typeface="Calibri"/>
                <a:ea typeface="Calibri"/>
              </a:rPr>
              <a:t>Test Results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Summary!$B$34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205-4048-9B6F-8F7D0C321BC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205-4048-9B6F-8F7D0C321BC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205-4048-9B6F-8F7D0C321BCE}"/>
              </c:ext>
            </c:extLst>
          </c:dPt>
          <c:dPt>
            <c:idx val="3"/>
            <c:bubble3D val="0"/>
            <c:spPr>
              <a:solidFill>
                <a:srgbClr val="7F608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205-4048-9B6F-8F7D0C321BCE}"/>
              </c:ext>
            </c:extLst>
          </c:dPt>
          <c:dPt>
            <c:idx val="4"/>
            <c:bubble3D val="0"/>
            <c:spPr>
              <a:solidFill>
                <a:srgbClr val="CDD3D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C205-4048-9B6F-8F7D0C321BCE}"/>
              </c:ext>
            </c:extLst>
          </c:dPt>
          <c:dLbls>
            <c:dLbl>
              <c:idx val="0"/>
              <c:numFmt formatCode="0%;;;" sourceLinked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205-4048-9B6F-8F7D0C321BCE}"/>
                </c:ext>
              </c:extLst>
            </c:dLbl>
            <c:dLbl>
              <c:idx val="1"/>
              <c:numFmt formatCode="0%;;;" sourceLinked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C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05-4048-9B6F-8F7D0C321BCE}"/>
                </c:ext>
              </c:extLst>
            </c:dLbl>
            <c:dLbl>
              <c:idx val="2"/>
              <c:numFmt formatCode="0%;;;" sourceLinked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205-4048-9B6F-8F7D0C321BCE}"/>
                </c:ext>
              </c:extLst>
            </c:dLbl>
            <c:dLbl>
              <c:idx val="3"/>
              <c:numFmt formatCode="0%;;;" sourceLinked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205-4048-9B6F-8F7D0C321BCE}"/>
                </c:ext>
              </c:extLst>
            </c:dLbl>
            <c:dLbl>
              <c:idx val="4"/>
              <c:numFmt formatCode="0%;;;" sourceLinked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205-4048-9B6F-8F7D0C321BCE}"/>
                </c:ext>
              </c:extLst>
            </c:dLbl>
            <c:numFmt formatCode="0%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Summary!$C$35:$C$39</c:f>
              <c:strCache>
                <c:ptCount val="2"/>
                <c:pt idx="0">
                  <c:v>Pass (78)</c:v>
                </c:pt>
                <c:pt idx="1">
                  <c:v>Fail (3)</c:v>
                </c:pt>
              </c:strCache>
            </c:strRef>
          </c:cat>
          <c:val>
            <c:numRef>
              <c:f>Summary!$B$35:$B$39</c:f>
              <c:numCache>
                <c:formatCode>General</c:formatCode>
                <c:ptCount val="5"/>
                <c:pt idx="0">
                  <c:v>78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05-4048-9B6F-8F7D0C321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ADFE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300" b="1" strike="noStrike" spc="-1">
                <a:solidFill>
                  <a:srgbClr val="353E40"/>
                </a:solidFill>
                <a:latin typeface="Calibri"/>
                <a:ea typeface="Calibri"/>
              </a:defRPr>
            </a:pPr>
            <a:r>
              <a:rPr lang="en-US" sz="1300" b="1" strike="noStrike" spc="-1">
                <a:solidFill>
                  <a:srgbClr val="353E40"/>
                </a:solidFill>
                <a:latin typeface="Calibri"/>
                <a:ea typeface="Calibri"/>
              </a:rPr>
              <a:t>Test Cases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Summary!$B$27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F525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0D1-4752-82DB-5D4EC9F13F43}"/>
              </c:ext>
            </c:extLst>
          </c:dPt>
          <c:dPt>
            <c:idx val="1"/>
            <c:bubble3D val="0"/>
            <c:spPr>
              <a:solidFill>
                <a:srgbClr val="1A9C9C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0D1-4752-82DB-5D4EC9F13F43}"/>
              </c:ext>
            </c:extLst>
          </c:dPt>
          <c:dPt>
            <c:idx val="2"/>
            <c:bubble3D val="0"/>
            <c:spPr>
              <a:solidFill>
                <a:srgbClr val="86CBC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0D1-4752-82DB-5D4EC9F13F43}"/>
              </c:ext>
            </c:extLst>
          </c:dPt>
          <c:dPt>
            <c:idx val="3"/>
            <c:bubble3D val="0"/>
            <c:spPr>
              <a:solidFill>
                <a:srgbClr val="6B7B7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0D1-4752-82DB-5D4EC9F13F43}"/>
              </c:ext>
            </c:extLst>
          </c:dPt>
          <c:dPt>
            <c:idx val="4"/>
            <c:bubble3D val="0"/>
            <c:spPr>
              <a:solidFill>
                <a:srgbClr val="353E4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0D1-4752-82DB-5D4EC9F13F4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0D1-4752-82DB-5D4EC9F13F4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0D1-4752-82DB-5D4EC9F13F4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262626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0D1-4752-82DB-5D4EC9F13F4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0D1-4752-82DB-5D4EC9F13F4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0D1-4752-82DB-5D4EC9F1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Summary!$A$28:$A$32</c:f>
              <c:strCache>
                <c:ptCount val="5"/>
                <c:pt idx="0">
                  <c:v>Happy Path</c:v>
                </c:pt>
                <c:pt idx="1">
                  <c:v>Extended Positive</c:v>
                </c:pt>
                <c:pt idx="2">
                  <c:v>Negative (valid input)</c:v>
                </c:pt>
                <c:pt idx="3">
                  <c:v>Negative (invalid input)</c:v>
                </c:pt>
                <c:pt idx="4">
                  <c:v>Destructive / Security</c:v>
                </c:pt>
              </c:strCache>
            </c:strRef>
          </c:cat>
          <c:val>
            <c:numRef>
              <c:f>Summary!$B$28:$B$32</c:f>
              <c:numCache>
                <c:formatCode>General</c:formatCode>
                <c:ptCount val="5"/>
                <c:pt idx="0">
                  <c:v>23</c:v>
                </c:pt>
                <c:pt idx="1">
                  <c:v>22</c:v>
                </c:pt>
                <c:pt idx="2">
                  <c:v>15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1-4752-82DB-5D4EC9F13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40404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ADFE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300" b="1" strike="noStrike" spc="-1">
                <a:solidFill>
                  <a:srgbClr val="353E40"/>
                </a:solidFill>
                <a:latin typeface="Calibri"/>
                <a:ea typeface="Calibri"/>
              </a:defRPr>
            </a:pPr>
            <a:r>
              <a:rPr lang="en-US" sz="1300" b="1" strike="noStrike" spc="-1">
                <a:solidFill>
                  <a:srgbClr val="353E40"/>
                </a:solidFill>
                <a:latin typeface="Calibri"/>
                <a:ea typeface="Calibri"/>
              </a:rPr>
              <a:t>Test Cases by Feature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Test cases</c:v>
                </c:pt>
              </c:strCache>
            </c:strRef>
          </c:tx>
          <c:spPr>
            <a:solidFill>
              <a:srgbClr val="1A9C9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Summary!$A$8:$A$24</c:f>
              <c:strCache>
                <c:ptCount val="17"/>
                <c:pt idx="0">
                  <c:v>A2 Profile: Availability, Hours, Earn Target</c:v>
                </c:pt>
                <c:pt idx="1">
                  <c:v>A2 Profile: Location</c:v>
                </c:pt>
                <c:pt idx="2">
                  <c:v>A2 Profile: Name</c:v>
                </c:pt>
                <c:pt idx="3">
                  <c:v>A3 Languages: Add</c:v>
                </c:pt>
                <c:pt idx="4">
                  <c:v>A4 Languages: Delete</c:v>
                </c:pt>
                <c:pt idx="5">
                  <c:v>A5 Languages: Update</c:v>
                </c:pt>
                <c:pt idx="6">
                  <c:v>A6 Skills: Add</c:v>
                </c:pt>
                <c:pt idx="7">
                  <c:v>A7 Skills: Delete</c:v>
                </c:pt>
                <c:pt idx="8">
                  <c:v>A8 Skills: Update</c:v>
                </c:pt>
                <c:pt idx="9">
                  <c:v>A9 Share Skills: Add New</c:v>
                </c:pt>
                <c:pt idx="10">
                  <c:v>A10 Search Skills: Categories</c:v>
                </c:pt>
                <c:pt idx="11">
                  <c:v>A11 Search Skills: Filters</c:v>
                </c:pt>
                <c:pt idx="12">
                  <c:v>Notifications: setup (supports A12 to A16)</c:v>
                </c:pt>
                <c:pt idx="13">
                  <c:v>A12 / A13 Notifications: Load More, Show Less</c:v>
                </c:pt>
                <c:pt idx="14">
                  <c:v>A14 Notifications: Delete</c:v>
                </c:pt>
                <c:pt idx="15">
                  <c:v>A15 Notifications: Mark as Read</c:v>
                </c:pt>
                <c:pt idx="16">
                  <c:v>A16 Notifications: Select &amp; Unselect</c:v>
                </c:pt>
              </c:strCache>
            </c:strRef>
          </c:cat>
          <c:val>
            <c:numRef>
              <c:f>Summary!$B$8:$B$24</c:f>
              <c:numCache>
                <c:formatCode>General</c:formatCode>
                <c:ptCount val="1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1</c:v>
                </c:pt>
                <c:pt idx="9">
                  <c:v>14</c:v>
                </c:pt>
                <c:pt idx="10">
                  <c:v>17</c:v>
                </c:pt>
                <c:pt idx="11">
                  <c:v>3</c:v>
                </c:pt>
                <c:pt idx="12">
                  <c:v>8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C-477F-922B-544A47038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7894455"/>
        <c:axId val="37589015"/>
      </c:barChart>
      <c:catAx>
        <c:axId val="27894455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404040"/>
                </a:solidFill>
                <a:latin typeface="Calibri"/>
                <a:ea typeface="Calibri"/>
              </a:defRPr>
            </a:pPr>
            <a:endParaRPr lang="en-US"/>
          </a:p>
        </c:txPr>
        <c:crossAx val="37589015"/>
        <c:crosses val="autoZero"/>
        <c:auto val="1"/>
        <c:lblAlgn val="ctr"/>
        <c:lblOffset val="100"/>
        <c:noMultiLvlLbl val="0"/>
      </c:catAx>
      <c:valAx>
        <c:axId val="37589015"/>
        <c:scaling>
          <c:orientation val="minMax"/>
        </c:scaling>
        <c:delete val="0"/>
        <c:axPos val="t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404040"/>
                </a:solidFill>
                <a:latin typeface="Calibri"/>
                <a:ea typeface="Calibri"/>
              </a:defRPr>
            </a:pPr>
            <a:endParaRPr lang="en-US"/>
          </a:p>
        </c:txPr>
        <c:crossAx val="27894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ADFE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300" b="1" strike="noStrike" spc="-1">
                <a:solidFill>
                  <a:srgbClr val="353E40"/>
                </a:solidFill>
                <a:latin typeface="Calibri"/>
                <a:ea typeface="Calibri"/>
              </a:defRPr>
            </a:pPr>
            <a:r>
              <a:rPr lang="en-US" sz="1300" b="1" strike="noStrike" spc="-1">
                <a:solidFill>
                  <a:srgbClr val="353E40"/>
                </a:solidFill>
                <a:latin typeface="Calibri"/>
                <a:ea typeface="Calibri"/>
              </a:rPr>
              <a:t>Test Type by Feature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Summary!$B$44</c:f>
              <c:strCache>
                <c:ptCount val="1"/>
                <c:pt idx="0">
                  <c:v>Happy Path</c:v>
                </c:pt>
              </c:strCache>
            </c:strRef>
          </c:tx>
          <c:spPr>
            <a:solidFill>
              <a:srgbClr val="0F5257"/>
            </a:solidFill>
            <a:ln w="0">
              <a:noFill/>
            </a:ln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Summary!$A$45:$A$50</c:f>
              <c:strCache>
                <c:ptCount val="6"/>
                <c:pt idx="0">
                  <c:v>A2 Profile</c:v>
                </c:pt>
                <c:pt idx="1">
                  <c:v>A3-A5 Languages</c:v>
                </c:pt>
                <c:pt idx="2">
                  <c:v>A6-A8 Skills</c:v>
                </c:pt>
                <c:pt idx="3">
                  <c:v>A9 Share Skills</c:v>
                </c:pt>
                <c:pt idx="4">
                  <c:v>A10-A11 Search Skills</c:v>
                </c:pt>
                <c:pt idx="5">
                  <c:v>A12-A16 Notifications (incl. setup)</c:v>
                </c:pt>
              </c:strCache>
            </c:strRef>
          </c:cat>
          <c:val>
            <c:numRef>
              <c:f>Summary!$B$45:$B$50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2-4958-95B2-8300029F7337}"/>
            </c:ext>
          </c:extLst>
        </c:ser>
        <c:ser>
          <c:idx val="1"/>
          <c:order val="1"/>
          <c:tx>
            <c:strRef>
              <c:f>Summary!$C$44</c:f>
              <c:strCache>
                <c:ptCount val="1"/>
                <c:pt idx="0">
                  <c:v>Extended Positive</c:v>
                </c:pt>
              </c:strCache>
            </c:strRef>
          </c:tx>
          <c:spPr>
            <a:solidFill>
              <a:srgbClr val="1A9C9C"/>
            </a:solidFill>
            <a:ln w="0">
              <a:noFill/>
            </a:ln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Summary!$A$45:$A$50</c:f>
              <c:strCache>
                <c:ptCount val="6"/>
                <c:pt idx="0">
                  <c:v>A2 Profile</c:v>
                </c:pt>
                <c:pt idx="1">
                  <c:v>A3-A5 Languages</c:v>
                </c:pt>
                <c:pt idx="2">
                  <c:v>A6-A8 Skills</c:v>
                </c:pt>
                <c:pt idx="3">
                  <c:v>A9 Share Skills</c:v>
                </c:pt>
                <c:pt idx="4">
                  <c:v>A10-A11 Search Skills</c:v>
                </c:pt>
                <c:pt idx="5">
                  <c:v>A12-A16 Notifications (incl. setup)</c:v>
                </c:pt>
              </c:strCache>
            </c:strRef>
          </c:cat>
          <c:val>
            <c:numRef>
              <c:f>Summary!$C$45:$C$50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2-4958-95B2-8300029F7337}"/>
            </c:ext>
          </c:extLst>
        </c:ser>
        <c:ser>
          <c:idx val="2"/>
          <c:order val="2"/>
          <c:tx>
            <c:strRef>
              <c:f>Summary!$D$44</c:f>
              <c:strCache>
                <c:ptCount val="1"/>
                <c:pt idx="0">
                  <c:v>Negative (valid input)</c:v>
                </c:pt>
              </c:strCache>
            </c:strRef>
          </c:tx>
          <c:spPr>
            <a:solidFill>
              <a:srgbClr val="86CBC6"/>
            </a:solidFill>
            <a:ln w="0">
              <a:noFill/>
            </a:ln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262626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Summary!$A$45:$A$50</c:f>
              <c:strCache>
                <c:ptCount val="6"/>
                <c:pt idx="0">
                  <c:v>A2 Profile</c:v>
                </c:pt>
                <c:pt idx="1">
                  <c:v>A3-A5 Languages</c:v>
                </c:pt>
                <c:pt idx="2">
                  <c:v>A6-A8 Skills</c:v>
                </c:pt>
                <c:pt idx="3">
                  <c:v>A9 Share Skills</c:v>
                </c:pt>
                <c:pt idx="4">
                  <c:v>A10-A11 Search Skills</c:v>
                </c:pt>
                <c:pt idx="5">
                  <c:v>A12-A16 Notifications (incl. setup)</c:v>
                </c:pt>
              </c:strCache>
            </c:strRef>
          </c:cat>
          <c:val>
            <c:numRef>
              <c:f>Summary!$D$45:$D$50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2-4958-95B2-8300029F7337}"/>
            </c:ext>
          </c:extLst>
        </c:ser>
        <c:ser>
          <c:idx val="3"/>
          <c:order val="3"/>
          <c:tx>
            <c:strRef>
              <c:f>Summary!$E$44</c:f>
              <c:strCache>
                <c:ptCount val="1"/>
                <c:pt idx="0">
                  <c:v>Negative (invalid input)</c:v>
                </c:pt>
              </c:strCache>
            </c:strRef>
          </c:tx>
          <c:spPr>
            <a:solidFill>
              <a:srgbClr val="6B7B7D"/>
            </a:solidFill>
            <a:ln w="0">
              <a:noFill/>
            </a:ln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Summary!$A$45:$A$50</c:f>
              <c:strCache>
                <c:ptCount val="6"/>
                <c:pt idx="0">
                  <c:v>A2 Profile</c:v>
                </c:pt>
                <c:pt idx="1">
                  <c:v>A3-A5 Languages</c:v>
                </c:pt>
                <c:pt idx="2">
                  <c:v>A6-A8 Skills</c:v>
                </c:pt>
                <c:pt idx="3">
                  <c:v>A9 Share Skills</c:v>
                </c:pt>
                <c:pt idx="4">
                  <c:v>A10-A11 Search Skills</c:v>
                </c:pt>
                <c:pt idx="5">
                  <c:v>A12-A16 Notifications (incl. setup)</c:v>
                </c:pt>
              </c:strCache>
            </c:strRef>
          </c:cat>
          <c:val>
            <c:numRef>
              <c:f>Summary!$E$45:$E$50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32-4958-95B2-8300029F7337}"/>
            </c:ext>
          </c:extLst>
        </c:ser>
        <c:ser>
          <c:idx val="4"/>
          <c:order val="4"/>
          <c:tx>
            <c:strRef>
              <c:f>Summary!$F$44</c:f>
              <c:strCache>
                <c:ptCount val="1"/>
                <c:pt idx="0">
                  <c:v>Destructive / Security</c:v>
                </c:pt>
              </c:strCache>
            </c:strRef>
          </c:tx>
          <c:spPr>
            <a:solidFill>
              <a:srgbClr val="353E40"/>
            </a:solidFill>
            <a:ln w="0">
              <a:noFill/>
            </a:ln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Summary!$A$45:$A$50</c:f>
              <c:strCache>
                <c:ptCount val="6"/>
                <c:pt idx="0">
                  <c:v>A2 Profile</c:v>
                </c:pt>
                <c:pt idx="1">
                  <c:v>A3-A5 Languages</c:v>
                </c:pt>
                <c:pt idx="2">
                  <c:v>A6-A8 Skills</c:v>
                </c:pt>
                <c:pt idx="3">
                  <c:v>A9 Share Skills</c:v>
                </c:pt>
                <c:pt idx="4">
                  <c:v>A10-A11 Search Skills</c:v>
                </c:pt>
                <c:pt idx="5">
                  <c:v>A12-A16 Notifications (incl. setup)</c:v>
                </c:pt>
              </c:strCache>
            </c:strRef>
          </c:cat>
          <c:val>
            <c:numRef>
              <c:f>Summary!$F$45:$F$50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32-4958-95B2-8300029F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456874"/>
        <c:axId val="11172399"/>
      </c:barChart>
      <c:catAx>
        <c:axId val="1045687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404040"/>
                </a:solidFill>
                <a:latin typeface="Calibri"/>
                <a:ea typeface="Calibri"/>
              </a:defRPr>
            </a:pPr>
            <a:endParaRPr lang="en-US"/>
          </a:p>
        </c:txPr>
        <c:crossAx val="11172399"/>
        <c:crosses val="autoZero"/>
        <c:auto val="1"/>
        <c:lblAlgn val="ctr"/>
        <c:lblOffset val="100"/>
        <c:noMultiLvlLbl val="0"/>
      </c:catAx>
      <c:valAx>
        <c:axId val="11172399"/>
        <c:scaling>
          <c:orientation val="minMax"/>
        </c:scaling>
        <c:delete val="0"/>
        <c:axPos val="t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404040"/>
                </a:solidFill>
                <a:latin typeface="Calibri"/>
                <a:ea typeface="Calibri"/>
              </a:defRPr>
            </a:pPr>
            <a:endParaRPr lang="en-US"/>
          </a:p>
        </c:txPr>
        <c:crossAx val="104568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40404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ADFE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9</xdr:col>
      <xdr:colOff>860580</xdr:colOff>
      <xdr:row>23</xdr:row>
      <xdr:rowOff>226800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</xdr:row>
      <xdr:rowOff>0</xdr:rowOff>
    </xdr:from>
    <xdr:to>
      <xdr:col>16</xdr:col>
      <xdr:colOff>860580</xdr:colOff>
      <xdr:row>23</xdr:row>
      <xdr:rowOff>226800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25</xdr:row>
      <xdr:rowOff>0</xdr:rowOff>
    </xdr:from>
    <xdr:to>
      <xdr:col>16</xdr:col>
      <xdr:colOff>860580</xdr:colOff>
      <xdr:row>42</xdr:row>
      <xdr:rowOff>4460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43</xdr:row>
      <xdr:rowOff>0</xdr:rowOff>
    </xdr:from>
    <xdr:to>
      <xdr:col>16</xdr:col>
      <xdr:colOff>860580</xdr:colOff>
      <xdr:row>65</xdr:row>
      <xdr:rowOff>171660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ED338F-E186-40D7-B686-56E7D23A729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270a010-ea8b-4da0-999a-5d281b00ae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5257"/>
    <pageSetUpPr fitToPage="1"/>
  </sheetPr>
  <dimension ref="A1:R70"/>
  <sheetViews>
    <sheetView showGridLines="0" tabSelected="1" zoomScale="60" zoomScaleNormal="60" workbookViewId="0">
      <selection activeCell="C60" sqref="C60"/>
    </sheetView>
  </sheetViews>
  <sheetFormatPr defaultColWidth="8.6640625" defaultRowHeight="14.4" x14ac:dyDescent="0.3"/>
  <cols>
    <col min="1" max="1" width="52" customWidth="1"/>
    <col min="2" max="2" width="14.77734375" customWidth="1"/>
    <col min="3" max="18" width="12.5546875" customWidth="1"/>
  </cols>
  <sheetData>
    <row r="1" spans="1:18" ht="37.5" customHeight="1" x14ac:dyDescent="0.3">
      <c r="A1" s="13" t="s">
        <v>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6" customHeight="1" x14ac:dyDescent="0.3">
      <c r="A2" s="1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21.75" customHeight="1" x14ac:dyDescent="0.3">
      <c r="A3" s="18" t="s">
        <v>1</v>
      </c>
      <c r="B3" s="19"/>
      <c r="C3" s="20"/>
      <c r="D3" s="12" t="s">
        <v>2</v>
      </c>
      <c r="E3" s="12"/>
      <c r="F3" s="20"/>
      <c r="G3" s="11" t="s">
        <v>3</v>
      </c>
      <c r="H3" s="11"/>
      <c r="I3" s="20"/>
      <c r="J3" s="10" t="s">
        <v>4</v>
      </c>
      <c r="K3" s="10"/>
      <c r="L3" s="20"/>
      <c r="M3" s="9" t="s">
        <v>5</v>
      </c>
      <c r="N3" s="9"/>
      <c r="O3" s="20"/>
      <c r="P3" s="8" t="s">
        <v>6</v>
      </c>
      <c r="Q3" s="8"/>
      <c r="R3" s="20"/>
    </row>
    <row r="4" spans="1:18" ht="43.5" customHeight="1" x14ac:dyDescent="0.3">
      <c r="A4" s="7" t="s">
        <v>7</v>
      </c>
      <c r="B4" s="7"/>
      <c r="C4" s="20"/>
      <c r="D4" s="6">
        <f>B25</f>
        <v>81</v>
      </c>
      <c r="E4" s="6"/>
      <c r="F4" s="20"/>
      <c r="G4" s="5">
        <f>B35</f>
        <v>78</v>
      </c>
      <c r="H4" s="5"/>
      <c r="I4" s="20"/>
      <c r="J4" s="4">
        <f>B36</f>
        <v>3</v>
      </c>
      <c r="K4" s="4"/>
      <c r="L4" s="20"/>
      <c r="M4" s="3">
        <f>IFERROR(B35/SUM(B35:B36),0)</f>
        <v>0.96296296296296291</v>
      </c>
      <c r="N4" s="3"/>
      <c r="O4" s="20"/>
      <c r="P4" s="2">
        <f>IFERROR(SUM(B35:B37)/B25,0)</f>
        <v>1</v>
      </c>
      <c r="Q4" s="2"/>
      <c r="R4" s="20"/>
    </row>
    <row r="5" spans="1:18" ht="31.5" customHeight="1" x14ac:dyDescent="0.3">
      <c r="A5" s="7" t="s">
        <v>8</v>
      </c>
      <c r="B5" s="7"/>
      <c r="C5" s="20"/>
      <c r="D5" s="1" t="str">
        <f>"across "&amp;COUNTA(A8:A24)&amp;" features"</f>
        <v>across 17 features</v>
      </c>
      <c r="E5" s="1"/>
      <c r="F5" s="20"/>
      <c r="G5" s="1" t="str">
        <f>TEXT(IFERROR(B35/B25,0),"0%")&amp;" of all cases"</f>
        <v>96% of all cases</v>
      </c>
      <c r="H5" s="1"/>
      <c r="I5" s="20"/>
      <c r="J5" s="1" t="s">
        <v>9</v>
      </c>
      <c r="K5" s="1"/>
      <c r="L5" s="20"/>
      <c r="M5" s="1" t="s">
        <v>10</v>
      </c>
      <c r="N5" s="1"/>
      <c r="O5" s="20"/>
      <c r="P5" s="1" t="str">
        <f>B39&amp;" cases still to run"</f>
        <v>0 cases still to run</v>
      </c>
      <c r="Q5" s="1"/>
      <c r="R5" s="20"/>
    </row>
    <row r="6" spans="1:18" ht="13.5" customHeight="1" x14ac:dyDescent="0.3">
      <c r="A6" s="19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 ht="21.75" customHeight="1" x14ac:dyDescent="0.3">
      <c r="A7" s="21" t="s">
        <v>11</v>
      </c>
      <c r="B7" s="22" t="s">
        <v>12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ht="18" customHeight="1" x14ac:dyDescent="0.3">
      <c r="A8" s="23" t="s">
        <v>13</v>
      </c>
      <c r="B8" s="24">
        <f>COUNTIF('Test Cases'!$B:$B,A8)</f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 ht="18" customHeight="1" x14ac:dyDescent="0.3">
      <c r="A9" s="25" t="s">
        <v>14</v>
      </c>
      <c r="B9" s="26">
        <f>COUNTIF('Test Cases'!$B:$B,A9)</f>
        <v>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ht="18" customHeight="1" x14ac:dyDescent="0.3">
      <c r="A10" s="25" t="s">
        <v>15</v>
      </c>
      <c r="B10" s="26">
        <f>COUNTIF('Test Cases'!$B:$B,A10)</f>
        <v>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ht="18" customHeight="1" x14ac:dyDescent="0.3">
      <c r="A11" s="25" t="s">
        <v>16</v>
      </c>
      <c r="B11" s="26">
        <f>COUNTIF('Test Cases'!$B:$B,A11)</f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ht="18" customHeight="1" x14ac:dyDescent="0.3">
      <c r="A12" s="25" t="s">
        <v>17</v>
      </c>
      <c r="B12" s="26">
        <f>COUNTIF('Test Cases'!$B:$B,A12)</f>
        <v>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ht="18" customHeight="1" x14ac:dyDescent="0.3">
      <c r="A13" s="25" t="s">
        <v>18</v>
      </c>
      <c r="B13" s="26">
        <f>COUNTIF('Test Cases'!$B:$B,A13)</f>
        <v>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18" customHeight="1" x14ac:dyDescent="0.3">
      <c r="A14" s="25" t="s">
        <v>19</v>
      </c>
      <c r="B14" s="26">
        <f>COUNTIF('Test Cases'!$B:$B,A14)</f>
        <v>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18" customHeight="1" x14ac:dyDescent="0.3">
      <c r="A15" s="25" t="s">
        <v>20</v>
      </c>
      <c r="B15" s="26">
        <f>COUNTIF('Test Cases'!$B:$B,A15)</f>
        <v>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" customHeight="1" x14ac:dyDescent="0.3">
      <c r="A16" s="25" t="s">
        <v>21</v>
      </c>
      <c r="B16" s="26">
        <f>COUNTIF('Test Cases'!$B:$B,A16)</f>
        <v>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18" customHeight="1" x14ac:dyDescent="0.3">
      <c r="A17" s="25" t="s">
        <v>22</v>
      </c>
      <c r="B17" s="26">
        <f>COUNTIF('Test Cases'!$B:$B,A17)</f>
        <v>14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8" customHeight="1" x14ac:dyDescent="0.3">
      <c r="A18" s="25" t="s">
        <v>23</v>
      </c>
      <c r="B18" s="26">
        <f>COUNTIF('Test Cases'!$B:$B,A18)</f>
        <v>17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8" customHeight="1" x14ac:dyDescent="0.3">
      <c r="A19" s="25" t="s">
        <v>24</v>
      </c>
      <c r="B19" s="26">
        <f>COUNTIF('Test Cases'!$B:$B,A19)</f>
        <v>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8" customHeight="1" x14ac:dyDescent="0.3">
      <c r="A20" s="25" t="s">
        <v>25</v>
      </c>
      <c r="B20" s="26">
        <f>COUNTIF('Test Cases'!$B:$B,A20)</f>
        <v>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8" customHeight="1" x14ac:dyDescent="0.3">
      <c r="A21" s="25" t="s">
        <v>26</v>
      </c>
      <c r="B21" s="26">
        <f>COUNTIF('Test Cases'!$B:$B,A21)</f>
        <v>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8" customHeight="1" x14ac:dyDescent="0.3">
      <c r="A22" s="25" t="s">
        <v>27</v>
      </c>
      <c r="B22" s="26">
        <f>COUNTIF('Test Cases'!$B:$B,A22)</f>
        <v>2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8" customHeight="1" x14ac:dyDescent="0.3">
      <c r="A23" s="25" t="s">
        <v>28</v>
      </c>
      <c r="B23" s="26">
        <f>COUNTIF('Test Cases'!$B:$B,A23)</f>
        <v>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8" customHeight="1" x14ac:dyDescent="0.3">
      <c r="A24" s="27" t="s">
        <v>29</v>
      </c>
      <c r="B24" s="28">
        <f>COUNTIF('Test Cases'!$B:$B,A24)</f>
        <v>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9.5" customHeight="1" x14ac:dyDescent="0.3">
      <c r="A25" s="29" t="s">
        <v>30</v>
      </c>
      <c r="B25" s="30">
        <f>SUM(B8:B24)</f>
        <v>81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3.5" customHeight="1" x14ac:dyDescent="0.3">
      <c r="A26" s="31"/>
      <c r="B26" s="3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21.75" customHeight="1" x14ac:dyDescent="0.3">
      <c r="A27" s="21" t="s">
        <v>31</v>
      </c>
      <c r="B27" s="22" t="s">
        <v>12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8" customHeight="1" x14ac:dyDescent="0.3">
      <c r="A28" s="23" t="s">
        <v>32</v>
      </c>
      <c r="B28" s="24">
        <f>COUNTIF('Test Cases'!$C:$C,A28)</f>
        <v>23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8" customHeight="1" x14ac:dyDescent="0.3">
      <c r="A29" s="25" t="s">
        <v>33</v>
      </c>
      <c r="B29" s="26">
        <f>COUNTIF('Test Cases'!$C:$C,A29)</f>
        <v>22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1:18" ht="18" customHeight="1" x14ac:dyDescent="0.3">
      <c r="A30" s="25" t="s">
        <v>34</v>
      </c>
      <c r="B30" s="26">
        <f>COUNTIF('Test Cases'!$C:$C,A30)</f>
        <v>15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18" ht="18" customHeight="1" x14ac:dyDescent="0.3">
      <c r="A31" s="25" t="s">
        <v>35</v>
      </c>
      <c r="B31" s="26">
        <f>COUNTIF('Test Cases'!$C:$C,A31)</f>
        <v>13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ht="18" customHeight="1" x14ac:dyDescent="0.3">
      <c r="A32" s="25" t="s">
        <v>36</v>
      </c>
      <c r="B32" s="26">
        <f>COUNTIF('Test Cases'!$C:$C,A32)</f>
        <v>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ht="13.5" customHeight="1" x14ac:dyDescent="0.3">
      <c r="A33" s="31"/>
      <c r="B33" s="3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ht="21.75" customHeight="1" x14ac:dyDescent="0.3">
      <c r="A34" s="21" t="s">
        <v>37</v>
      </c>
      <c r="B34" s="22" t="s">
        <v>12</v>
      </c>
      <c r="C34" s="22" t="s">
        <v>38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ht="18" customHeight="1" x14ac:dyDescent="0.3">
      <c r="A35" s="23" t="s">
        <v>39</v>
      </c>
      <c r="B35" s="24">
        <f>COUNTIF('Test Cases'!$L:$L,A35)</f>
        <v>78</v>
      </c>
      <c r="C35" s="33" t="str">
        <f>IF(B35=0,"",A35&amp;" ("&amp;B35&amp;")")</f>
        <v>Pass (78)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ht="18" customHeight="1" x14ac:dyDescent="0.3">
      <c r="A36" s="25" t="s">
        <v>40</v>
      </c>
      <c r="B36" s="26">
        <f>COUNTIF('Test Cases'!$L:$L,A36)</f>
        <v>3</v>
      </c>
      <c r="C36" s="34" t="str">
        <f>IF(B36=0,"",A36&amp;" ("&amp;B36&amp;")")</f>
        <v>Fail (3)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18" customHeight="1" x14ac:dyDescent="0.3">
      <c r="A37" s="25" t="s">
        <v>41</v>
      </c>
      <c r="B37" s="26">
        <f>COUNTIF('Test Cases'!$L:$L,A37)</f>
        <v>0</v>
      </c>
      <c r="C37" s="34" t="str">
        <f>IF(B37=0,"",A37&amp;" ("&amp;B37&amp;")")</f>
        <v/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ht="18" customHeight="1" x14ac:dyDescent="0.3">
      <c r="A38" s="25" t="s">
        <v>42</v>
      </c>
      <c r="B38" s="26">
        <f>COUNTIF('Test Cases'!$L:$L,A38)</f>
        <v>0</v>
      </c>
      <c r="C38" s="34" t="str">
        <f>IF(B38=0,"",A38&amp;" ("&amp;B38&amp;")")</f>
        <v/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18" customHeight="1" x14ac:dyDescent="0.3">
      <c r="A39" s="25" t="s">
        <v>43</v>
      </c>
      <c r="B39" s="26">
        <f>B25-SUM(B35:B38)</f>
        <v>0</v>
      </c>
      <c r="C39" s="34" t="str">
        <f>IF(B39=0,"",A39&amp;" ("&amp;B39&amp;")")</f>
        <v/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spans="1:18" ht="13.5" customHeight="1" x14ac:dyDescent="0.3">
      <c r="A40" s="3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1:18" ht="13.5" customHeight="1" x14ac:dyDescent="0.3">
      <c r="A41" s="3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 spans="1:18" ht="13.5" customHeight="1" x14ac:dyDescent="0.3">
      <c r="A42" s="35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 spans="1:18" ht="13.5" customHeight="1" x14ac:dyDescent="0.3">
      <c r="A43" s="35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  <row r="44" spans="1:18" ht="45.75" customHeight="1" x14ac:dyDescent="0.3">
      <c r="A44" s="21" t="s">
        <v>44</v>
      </c>
      <c r="B44" s="22" t="str">
        <f>$A$28</f>
        <v>Happy Path</v>
      </c>
      <c r="C44" s="22" t="str">
        <f>$A$29</f>
        <v>Extended Positive</v>
      </c>
      <c r="D44" s="22" t="str">
        <f>$A$30</f>
        <v>Negative (valid input)</v>
      </c>
      <c r="E44" s="22" t="str">
        <f>$A$31</f>
        <v>Negative (invalid input)</v>
      </c>
      <c r="F44" s="22" t="str">
        <f>$A$32</f>
        <v>Destructive / Security</v>
      </c>
      <c r="G44" s="22" t="s">
        <v>30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 spans="1:18" ht="18" customHeight="1" x14ac:dyDescent="0.3">
      <c r="A45" s="23" t="s">
        <v>45</v>
      </c>
      <c r="B45" s="24">
        <f t="array" ref="B45">SUM(COUNTIFS('Test Cases'!$B:$B,$A$8:$A$10,'Test Cases'!$C:$C,B$44))</f>
        <v>1</v>
      </c>
      <c r="C45" s="24">
        <f t="array" ref="C45">SUM(COUNTIFS('Test Cases'!$B:$B,$A$8:$A$10,'Test Cases'!$C:$C,C$44))</f>
        <v>4</v>
      </c>
      <c r="D45" s="24">
        <f t="array" ref="D45">SUM(COUNTIFS('Test Cases'!$B:$B,$A$8:$A$10,'Test Cases'!$C:$C,D$44))</f>
        <v>1</v>
      </c>
      <c r="E45" s="24">
        <f t="array" ref="E45">SUM(COUNTIFS('Test Cases'!$B:$B,$A$8:$A$10,'Test Cases'!$C:$C,E$44))</f>
        <v>0</v>
      </c>
      <c r="F45" s="24">
        <f t="array" ref="F45">SUM(COUNTIFS('Test Cases'!$B:$B,$A$8:$A$10,'Test Cases'!$C:$C,F$44))</f>
        <v>0</v>
      </c>
      <c r="G45" s="36">
        <f t="shared" ref="G45:G51" si="0">SUM(B45:F45)</f>
        <v>6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  <row r="46" spans="1:18" ht="18" customHeight="1" x14ac:dyDescent="0.3">
      <c r="A46" s="25" t="s">
        <v>46</v>
      </c>
      <c r="B46" s="26">
        <f t="array" ref="B46">SUM(COUNTIFS('Test Cases'!$B:$B,$A$11:$A$13,'Test Cases'!$C:$C,B$44))</f>
        <v>3</v>
      </c>
      <c r="C46" s="26">
        <f t="array" ref="C46">SUM(COUNTIFS('Test Cases'!$B:$B,$A$11:$A$13,'Test Cases'!$C:$C,C$44))</f>
        <v>2</v>
      </c>
      <c r="D46" s="26">
        <f t="array" ref="D46">SUM(COUNTIFS('Test Cases'!$B:$B,$A$11:$A$13,'Test Cases'!$C:$C,D$44))</f>
        <v>4</v>
      </c>
      <c r="E46" s="26">
        <f t="array" ref="E46">SUM(COUNTIFS('Test Cases'!$B:$B,$A$11:$A$13,'Test Cases'!$C:$C,E$44))</f>
        <v>2</v>
      </c>
      <c r="F46" s="26">
        <f t="array" ref="F46">SUM(COUNTIFS('Test Cases'!$B:$B,$A$11:$A$13,'Test Cases'!$C:$C,F$44))</f>
        <v>2</v>
      </c>
      <c r="G46" s="37">
        <f t="shared" si="0"/>
        <v>13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spans="1:18" ht="18" customHeight="1" x14ac:dyDescent="0.3">
      <c r="A47" s="25" t="s">
        <v>47</v>
      </c>
      <c r="B47" s="26">
        <f t="array" ref="B47">SUM(COUNTIFS('Test Cases'!$B:$B,$A$14:$A$16,'Test Cases'!$C:$C,B$44))</f>
        <v>3</v>
      </c>
      <c r="C47" s="26">
        <f t="array" ref="C47">SUM(COUNTIFS('Test Cases'!$B:$B,$A$14:$A$16,'Test Cases'!$C:$C,C$44))</f>
        <v>2</v>
      </c>
      <c r="D47" s="26">
        <f t="array" ref="D47">SUM(COUNTIFS('Test Cases'!$B:$B,$A$14:$A$16,'Test Cases'!$C:$C,D$44))</f>
        <v>3</v>
      </c>
      <c r="E47" s="26">
        <f t="array" ref="E47">SUM(COUNTIFS('Test Cases'!$B:$B,$A$14:$A$16,'Test Cases'!$C:$C,E$44))</f>
        <v>1</v>
      </c>
      <c r="F47" s="26">
        <f t="array" ref="F47">SUM(COUNTIFS('Test Cases'!$B:$B,$A$14:$A$16,'Test Cases'!$C:$C,F$44))</f>
        <v>2</v>
      </c>
      <c r="G47" s="37">
        <f t="shared" si="0"/>
        <v>11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 ht="18" customHeight="1" x14ac:dyDescent="0.3">
      <c r="A48" s="25" t="s">
        <v>48</v>
      </c>
      <c r="B48" s="26">
        <f>SUM(COUNTIFS('Test Cases'!$B:$B,$A$17,'Test Cases'!$C:$C,B$44))</f>
        <v>1</v>
      </c>
      <c r="C48" s="26">
        <f>SUM(COUNTIFS('Test Cases'!$B:$B,$A$17,'Test Cases'!$C:$C,C$44))</f>
        <v>1</v>
      </c>
      <c r="D48" s="26">
        <f>SUM(COUNTIFS('Test Cases'!$B:$B,$A$17,'Test Cases'!$C:$C,D$44))</f>
        <v>1</v>
      </c>
      <c r="E48" s="26">
        <f>SUM(COUNTIFS('Test Cases'!$B:$B,$A$17,'Test Cases'!$C:$C,E$44))</f>
        <v>9</v>
      </c>
      <c r="F48" s="26">
        <f>SUM(COUNTIFS('Test Cases'!$B:$B,$A$17,'Test Cases'!$C:$C,F$44))</f>
        <v>2</v>
      </c>
      <c r="G48" s="37">
        <f t="shared" si="0"/>
        <v>14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1:18" ht="18" customHeight="1" x14ac:dyDescent="0.3">
      <c r="A49" s="25" t="s">
        <v>49</v>
      </c>
      <c r="B49" s="26">
        <f t="array" ref="B49">SUM(COUNTIFS('Test Cases'!$B:$B,$A$18:$A$19,'Test Cases'!$C:$C,B$44))</f>
        <v>6</v>
      </c>
      <c r="C49" s="26">
        <f t="array" ref="C49">SUM(COUNTIFS('Test Cases'!$B:$B,$A$18:$A$19,'Test Cases'!$C:$C,C$44))</f>
        <v>7</v>
      </c>
      <c r="D49" s="26">
        <f t="array" ref="D49">SUM(COUNTIFS('Test Cases'!$B:$B,$A$18:$A$19,'Test Cases'!$C:$C,D$44))</f>
        <v>4</v>
      </c>
      <c r="E49" s="26">
        <f t="array" ref="E49">SUM(COUNTIFS('Test Cases'!$B:$B,$A$18:$A$19,'Test Cases'!$C:$C,E$44))</f>
        <v>1</v>
      </c>
      <c r="F49" s="26">
        <f t="array" ref="F49">SUM(COUNTIFS('Test Cases'!$B:$B,$A$18:$A$19,'Test Cases'!$C:$C,F$44))</f>
        <v>2</v>
      </c>
      <c r="G49" s="37">
        <f t="shared" si="0"/>
        <v>20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</row>
    <row r="50" spans="1:18" ht="18" customHeight="1" x14ac:dyDescent="0.3">
      <c r="A50" s="27" t="s">
        <v>50</v>
      </c>
      <c r="B50" s="28">
        <f t="array" ref="B50">SUM(COUNTIFS('Test Cases'!$B:$B,$A$20:$A$24,'Test Cases'!$C:$C,B$44))</f>
        <v>9</v>
      </c>
      <c r="C50" s="28">
        <f t="array" ref="C50">SUM(COUNTIFS('Test Cases'!$B:$B,$A$20:$A$24,'Test Cases'!$C:$C,C$44))</f>
        <v>6</v>
      </c>
      <c r="D50" s="28">
        <f t="array" ref="D50">SUM(COUNTIFS('Test Cases'!$B:$B,$A$20:$A$24,'Test Cases'!$C:$C,D$44))</f>
        <v>2</v>
      </c>
      <c r="E50" s="28">
        <f t="array" ref="E50">SUM(COUNTIFS('Test Cases'!$B:$B,$A$20:$A$24,'Test Cases'!$C:$C,E$44))</f>
        <v>0</v>
      </c>
      <c r="F50" s="28">
        <f t="array" ref="F50">SUM(COUNTIFS('Test Cases'!$B:$B,$A$20:$A$24,'Test Cases'!$C:$C,F$44))</f>
        <v>0</v>
      </c>
      <c r="G50" s="38">
        <f t="shared" si="0"/>
        <v>17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spans="1:18" ht="19.5" customHeight="1" x14ac:dyDescent="0.3">
      <c r="A51" s="29" t="s">
        <v>30</v>
      </c>
      <c r="B51" s="30">
        <f>SUM(B45:B50)</f>
        <v>23</v>
      </c>
      <c r="C51" s="30">
        <f>SUM(C45:C50)</f>
        <v>22</v>
      </c>
      <c r="D51" s="30">
        <f>SUM(D45:D50)</f>
        <v>15</v>
      </c>
      <c r="E51" s="30">
        <f>SUM(E45:E50)</f>
        <v>13</v>
      </c>
      <c r="F51" s="30">
        <f>SUM(F45:F50)</f>
        <v>8</v>
      </c>
      <c r="G51" s="30">
        <f t="shared" si="0"/>
        <v>81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spans="1:18" ht="14.2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</row>
    <row r="53" spans="1:18" ht="14.2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</row>
    <row r="54" spans="1:18" ht="14.2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</row>
    <row r="55" spans="1:18" ht="14.2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</row>
    <row r="56" spans="1:18" ht="14.2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spans="1:18" ht="14.2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18" ht="14.2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1:18" ht="14.2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1:18" ht="14.2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18" ht="14.2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 ht="14.2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18" ht="14.2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18" ht="14.2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18" ht="14.2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</row>
    <row r="66" spans="1:18" ht="14.2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spans="1:18" ht="14.2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spans="1:18" ht="14.2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spans="1:18" ht="14.2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</row>
    <row r="70" spans="1:18" ht="14.2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</sheetData>
  <mergeCells count="17">
    <mergeCell ref="P4:Q4"/>
    <mergeCell ref="A5:B5"/>
    <mergeCell ref="D5:E5"/>
    <mergeCell ref="G5:H5"/>
    <mergeCell ref="J5:K5"/>
    <mergeCell ref="M5:N5"/>
    <mergeCell ref="P5:Q5"/>
    <mergeCell ref="A4:B4"/>
    <mergeCell ref="D4:E4"/>
    <mergeCell ref="G4:H4"/>
    <mergeCell ref="J4:K4"/>
    <mergeCell ref="M4:N4"/>
    <mergeCell ref="D3:E3"/>
    <mergeCell ref="G3:H3"/>
    <mergeCell ref="J3:K3"/>
    <mergeCell ref="M3:N3"/>
    <mergeCell ref="P3:Q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9C9C"/>
    <pageSetUpPr fitToPage="1"/>
  </sheetPr>
  <dimension ref="A1:L82"/>
  <sheetViews>
    <sheetView showGridLines="0" zoomScaleNormal="100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defaultColWidth="8.6640625" defaultRowHeight="14.4" x14ac:dyDescent="0.3"/>
  <cols>
    <col min="1" max="1" width="12" customWidth="1"/>
    <col min="2" max="2" width="26" customWidth="1"/>
    <col min="3" max="3" width="20" customWidth="1"/>
    <col min="4" max="4" width="30" customWidth="1"/>
    <col min="5" max="5" width="48.109375" customWidth="1"/>
    <col min="6" max="6" width="44" customWidth="1"/>
    <col min="7" max="7" width="28" customWidth="1"/>
    <col min="8" max="8" width="38" customWidth="1"/>
    <col min="9" max="9" width="40" customWidth="1"/>
    <col min="10" max="10" width="13.33203125" customWidth="1"/>
    <col min="11" max="11" width="28" customWidth="1"/>
    <col min="12" max="12" width="11" customWidth="1"/>
  </cols>
  <sheetData>
    <row r="1" spans="1:12" ht="30" customHeight="1" x14ac:dyDescent="0.3">
      <c r="A1" s="39" t="s">
        <v>51</v>
      </c>
      <c r="B1" s="39" t="s">
        <v>11</v>
      </c>
      <c r="C1" s="39" t="s">
        <v>52</v>
      </c>
      <c r="D1" s="39" t="s">
        <v>53</v>
      </c>
      <c r="E1" s="39" t="s">
        <v>54</v>
      </c>
      <c r="F1" s="39" t="s">
        <v>55</v>
      </c>
      <c r="G1" s="39" t="s">
        <v>56</v>
      </c>
      <c r="H1" s="39" t="s">
        <v>57</v>
      </c>
      <c r="I1" s="39" t="s">
        <v>58</v>
      </c>
      <c r="J1" s="39" t="s">
        <v>59</v>
      </c>
      <c r="K1" s="40" t="s">
        <v>60</v>
      </c>
      <c r="L1" s="40" t="s">
        <v>37</v>
      </c>
    </row>
    <row r="2" spans="1:12" ht="41.25" customHeight="1" x14ac:dyDescent="0.3">
      <c r="A2" s="41" t="s">
        <v>61</v>
      </c>
      <c r="B2" s="42" t="s">
        <v>16</v>
      </c>
      <c r="C2" s="43" t="s">
        <v>32</v>
      </c>
      <c r="D2" s="42" t="s">
        <v>62</v>
      </c>
      <c r="E2" s="42" t="s">
        <v>63</v>
      </c>
      <c r="F2" s="42" t="s">
        <v>64</v>
      </c>
      <c r="G2" s="42" t="s">
        <v>65</v>
      </c>
      <c r="H2" s="42" t="s">
        <v>66</v>
      </c>
      <c r="I2" s="44" t="s">
        <v>67</v>
      </c>
      <c r="J2" s="45" t="s">
        <v>68</v>
      </c>
      <c r="K2" s="42" t="s">
        <v>69</v>
      </c>
      <c r="L2" s="46" t="s">
        <v>39</v>
      </c>
    </row>
    <row r="3" spans="1:12" ht="41.25" customHeight="1" x14ac:dyDescent="0.3">
      <c r="A3" s="41" t="s">
        <v>70</v>
      </c>
      <c r="B3" s="42" t="s">
        <v>18</v>
      </c>
      <c r="C3" s="43" t="s">
        <v>32</v>
      </c>
      <c r="D3" s="42" t="s">
        <v>71</v>
      </c>
      <c r="E3" s="42" t="s">
        <v>72</v>
      </c>
      <c r="F3" s="42" t="s">
        <v>73</v>
      </c>
      <c r="G3" s="42" t="s">
        <v>74</v>
      </c>
      <c r="H3" s="42" t="s">
        <v>75</v>
      </c>
      <c r="I3" s="44" t="s">
        <v>76</v>
      </c>
      <c r="J3" s="45" t="s">
        <v>68</v>
      </c>
      <c r="K3" s="42" t="s">
        <v>77</v>
      </c>
      <c r="L3" s="46" t="s">
        <v>39</v>
      </c>
    </row>
    <row r="4" spans="1:12" ht="41.25" customHeight="1" x14ac:dyDescent="0.3">
      <c r="A4" s="41" t="s">
        <v>78</v>
      </c>
      <c r="B4" s="42" t="s">
        <v>17</v>
      </c>
      <c r="C4" s="43" t="s">
        <v>32</v>
      </c>
      <c r="D4" s="42" t="s">
        <v>79</v>
      </c>
      <c r="E4" s="42" t="s">
        <v>72</v>
      </c>
      <c r="F4" s="42" t="s">
        <v>80</v>
      </c>
      <c r="G4" s="42" t="s">
        <v>81</v>
      </c>
      <c r="H4" s="42" t="s">
        <v>82</v>
      </c>
      <c r="I4" s="44" t="s">
        <v>83</v>
      </c>
      <c r="J4" s="45" t="s">
        <v>68</v>
      </c>
      <c r="K4" s="42" t="s">
        <v>84</v>
      </c>
      <c r="L4" s="46" t="s">
        <v>39</v>
      </c>
    </row>
    <row r="5" spans="1:12" ht="41.25" customHeight="1" x14ac:dyDescent="0.3">
      <c r="A5" s="41" t="s">
        <v>85</v>
      </c>
      <c r="B5" s="42" t="s">
        <v>16</v>
      </c>
      <c r="C5" s="43" t="s">
        <v>33</v>
      </c>
      <c r="D5" s="42" t="s">
        <v>86</v>
      </c>
      <c r="E5" s="42" t="s">
        <v>63</v>
      </c>
      <c r="F5" s="42" t="s">
        <v>87</v>
      </c>
      <c r="G5" s="42" t="s">
        <v>88</v>
      </c>
      <c r="H5" s="42" t="s">
        <v>89</v>
      </c>
      <c r="I5" s="44" t="s">
        <v>90</v>
      </c>
      <c r="J5" s="45" t="s">
        <v>68</v>
      </c>
      <c r="K5" s="42" t="s">
        <v>91</v>
      </c>
      <c r="L5" s="46" t="s">
        <v>39</v>
      </c>
    </row>
    <row r="6" spans="1:12" ht="27" customHeight="1" x14ac:dyDescent="0.3">
      <c r="A6" s="41" t="s">
        <v>92</v>
      </c>
      <c r="B6" s="42" t="s">
        <v>16</v>
      </c>
      <c r="C6" s="43" t="s">
        <v>34</v>
      </c>
      <c r="D6" s="42" t="s">
        <v>93</v>
      </c>
      <c r="E6" s="42" t="s">
        <v>63</v>
      </c>
      <c r="F6" s="42" t="s">
        <v>94</v>
      </c>
      <c r="G6" s="42" t="s">
        <v>95</v>
      </c>
      <c r="H6" s="42" t="s">
        <v>96</v>
      </c>
      <c r="I6" s="44" t="s">
        <v>97</v>
      </c>
      <c r="J6" s="45" t="s">
        <v>68</v>
      </c>
      <c r="K6" s="42" t="s">
        <v>98</v>
      </c>
      <c r="L6" s="46" t="s">
        <v>39</v>
      </c>
    </row>
    <row r="7" spans="1:12" ht="54.75" customHeight="1" x14ac:dyDescent="0.3">
      <c r="A7" s="41" t="s">
        <v>99</v>
      </c>
      <c r="B7" s="42" t="s">
        <v>16</v>
      </c>
      <c r="C7" s="43" t="s">
        <v>34</v>
      </c>
      <c r="D7" s="42" t="s">
        <v>100</v>
      </c>
      <c r="E7" s="42" t="s">
        <v>63</v>
      </c>
      <c r="F7" s="42" t="s">
        <v>101</v>
      </c>
      <c r="G7" s="42" t="s">
        <v>102</v>
      </c>
      <c r="H7" s="42" t="s">
        <v>103</v>
      </c>
      <c r="I7" s="44" t="s">
        <v>104</v>
      </c>
      <c r="J7" s="45" t="s">
        <v>68</v>
      </c>
      <c r="K7" s="42" t="s">
        <v>105</v>
      </c>
      <c r="L7" s="46" t="s">
        <v>39</v>
      </c>
    </row>
    <row r="8" spans="1:12" ht="27" customHeight="1" x14ac:dyDescent="0.3">
      <c r="A8" s="41" t="s">
        <v>106</v>
      </c>
      <c r="B8" s="42" t="s">
        <v>16</v>
      </c>
      <c r="C8" s="43" t="s">
        <v>34</v>
      </c>
      <c r="D8" s="42" t="s">
        <v>107</v>
      </c>
      <c r="E8" s="42" t="s">
        <v>63</v>
      </c>
      <c r="F8" s="42" t="s">
        <v>108</v>
      </c>
      <c r="G8" s="42" t="s">
        <v>109</v>
      </c>
      <c r="H8" s="42" t="s">
        <v>110</v>
      </c>
      <c r="I8" s="44" t="s">
        <v>111</v>
      </c>
      <c r="J8" s="45" t="s">
        <v>68</v>
      </c>
      <c r="K8" s="42" t="s">
        <v>112</v>
      </c>
      <c r="L8" s="46" t="s">
        <v>39</v>
      </c>
    </row>
    <row r="9" spans="1:12" ht="27" customHeight="1" x14ac:dyDescent="0.3">
      <c r="A9" s="41" t="s">
        <v>113</v>
      </c>
      <c r="B9" s="42" t="s">
        <v>16</v>
      </c>
      <c r="C9" s="43" t="s">
        <v>35</v>
      </c>
      <c r="D9" s="42" t="s">
        <v>114</v>
      </c>
      <c r="E9" s="42" t="s">
        <v>63</v>
      </c>
      <c r="F9" s="42" t="s">
        <v>115</v>
      </c>
      <c r="G9" s="42" t="s">
        <v>116</v>
      </c>
      <c r="H9" s="42" t="s">
        <v>117</v>
      </c>
      <c r="I9" s="44" t="s">
        <v>118</v>
      </c>
      <c r="J9" s="45" t="s">
        <v>68</v>
      </c>
      <c r="K9" s="42" t="s">
        <v>119</v>
      </c>
      <c r="L9" s="46" t="s">
        <v>39</v>
      </c>
    </row>
    <row r="10" spans="1:12" ht="41.25" customHeight="1" x14ac:dyDescent="0.3">
      <c r="A10" s="41" t="s">
        <v>120</v>
      </c>
      <c r="B10" s="42" t="s">
        <v>16</v>
      </c>
      <c r="C10" s="43" t="s">
        <v>35</v>
      </c>
      <c r="D10" s="42" t="s">
        <v>121</v>
      </c>
      <c r="E10" s="42" t="s">
        <v>63</v>
      </c>
      <c r="F10" s="42" t="s">
        <v>122</v>
      </c>
      <c r="G10" s="42" t="s">
        <v>123</v>
      </c>
      <c r="H10" s="42" t="s">
        <v>117</v>
      </c>
      <c r="I10" s="44" t="s">
        <v>124</v>
      </c>
      <c r="J10" s="45" t="s">
        <v>68</v>
      </c>
      <c r="K10" s="42" t="s">
        <v>125</v>
      </c>
      <c r="L10" s="46" t="s">
        <v>39</v>
      </c>
    </row>
    <row r="11" spans="1:12" ht="41.25" customHeight="1" x14ac:dyDescent="0.3">
      <c r="A11" s="41" t="s">
        <v>126</v>
      </c>
      <c r="B11" s="42" t="s">
        <v>16</v>
      </c>
      <c r="C11" s="43" t="s">
        <v>34</v>
      </c>
      <c r="D11" s="42" t="s">
        <v>127</v>
      </c>
      <c r="E11" s="42" t="s">
        <v>63</v>
      </c>
      <c r="F11" s="42" t="s">
        <v>128</v>
      </c>
      <c r="G11" s="42" t="s">
        <v>65</v>
      </c>
      <c r="H11" s="42" t="s">
        <v>129</v>
      </c>
      <c r="I11" s="44" t="s">
        <v>130</v>
      </c>
      <c r="J11" s="45" t="s">
        <v>68</v>
      </c>
      <c r="K11" s="42" t="s">
        <v>131</v>
      </c>
      <c r="L11" s="46" t="s">
        <v>39</v>
      </c>
    </row>
    <row r="12" spans="1:12" ht="27" customHeight="1" x14ac:dyDescent="0.3">
      <c r="A12" s="41" t="s">
        <v>132</v>
      </c>
      <c r="B12" s="42" t="s">
        <v>17</v>
      </c>
      <c r="C12" s="43" t="s">
        <v>33</v>
      </c>
      <c r="D12" s="42" t="s">
        <v>133</v>
      </c>
      <c r="E12" s="42" t="s">
        <v>134</v>
      </c>
      <c r="F12" s="42" t="s">
        <v>135</v>
      </c>
      <c r="G12" s="42" t="s">
        <v>136</v>
      </c>
      <c r="H12" s="42" t="s">
        <v>137</v>
      </c>
      <c r="I12" s="44" t="s">
        <v>138</v>
      </c>
      <c r="J12" s="45" t="s">
        <v>68</v>
      </c>
      <c r="K12" s="42" t="s">
        <v>139</v>
      </c>
      <c r="L12" s="46" t="s">
        <v>39</v>
      </c>
    </row>
    <row r="13" spans="1:12" ht="41.25" customHeight="1" x14ac:dyDescent="0.3">
      <c r="A13" s="41" t="s">
        <v>140</v>
      </c>
      <c r="B13" s="42" t="s">
        <v>16</v>
      </c>
      <c r="C13" s="43" t="s">
        <v>36</v>
      </c>
      <c r="D13" s="42" t="s">
        <v>141</v>
      </c>
      <c r="E13" s="42" t="s">
        <v>63</v>
      </c>
      <c r="F13" s="42" t="s">
        <v>142</v>
      </c>
      <c r="G13" s="42" t="s">
        <v>143</v>
      </c>
      <c r="H13" s="42" t="s">
        <v>144</v>
      </c>
      <c r="I13" s="44" t="s">
        <v>145</v>
      </c>
      <c r="J13" s="45" t="s">
        <v>68</v>
      </c>
      <c r="K13" s="42" t="s">
        <v>146</v>
      </c>
      <c r="L13" s="46" t="s">
        <v>40</v>
      </c>
    </row>
    <row r="14" spans="1:12" ht="41.25" customHeight="1" x14ac:dyDescent="0.3">
      <c r="A14" s="41" t="s">
        <v>147</v>
      </c>
      <c r="B14" s="42" t="s">
        <v>16</v>
      </c>
      <c r="C14" s="43" t="s">
        <v>36</v>
      </c>
      <c r="D14" s="42" t="s">
        <v>148</v>
      </c>
      <c r="E14" s="42" t="s">
        <v>63</v>
      </c>
      <c r="F14" s="42" t="s">
        <v>149</v>
      </c>
      <c r="G14" s="42" t="s">
        <v>150</v>
      </c>
      <c r="H14" s="42" t="s">
        <v>151</v>
      </c>
      <c r="I14" s="44" t="s">
        <v>152</v>
      </c>
      <c r="J14" s="45" t="s">
        <v>68</v>
      </c>
      <c r="K14" s="42" t="s">
        <v>153</v>
      </c>
      <c r="L14" s="46" t="s">
        <v>39</v>
      </c>
    </row>
    <row r="15" spans="1:12" ht="41.25" customHeight="1" x14ac:dyDescent="0.3">
      <c r="A15" s="41" t="s">
        <v>154</v>
      </c>
      <c r="B15" s="42" t="s">
        <v>25</v>
      </c>
      <c r="C15" s="43" t="s">
        <v>32</v>
      </c>
      <c r="D15" s="42" t="s">
        <v>155</v>
      </c>
      <c r="E15" s="42" t="s">
        <v>156</v>
      </c>
      <c r="F15" s="42" t="s">
        <v>157</v>
      </c>
      <c r="G15" s="42" t="s">
        <v>158</v>
      </c>
      <c r="H15" s="42" t="s">
        <v>159</v>
      </c>
      <c r="I15" s="44" t="s">
        <v>160</v>
      </c>
      <c r="J15" s="45" t="s">
        <v>68</v>
      </c>
      <c r="K15" s="42" t="s">
        <v>161</v>
      </c>
      <c r="L15" s="46" t="s">
        <v>39</v>
      </c>
    </row>
    <row r="16" spans="1:12" ht="41.25" customHeight="1" x14ac:dyDescent="0.3">
      <c r="A16" s="41" t="s">
        <v>162</v>
      </c>
      <c r="B16" s="42" t="s">
        <v>25</v>
      </c>
      <c r="C16" s="43" t="s">
        <v>32</v>
      </c>
      <c r="D16" s="42" t="s">
        <v>163</v>
      </c>
      <c r="E16" s="42" t="s">
        <v>156</v>
      </c>
      <c r="F16" s="42" t="s">
        <v>164</v>
      </c>
      <c r="G16" s="42" t="s">
        <v>165</v>
      </c>
      <c r="H16" s="42" t="s">
        <v>166</v>
      </c>
      <c r="I16" s="44" t="s">
        <v>167</v>
      </c>
      <c r="J16" s="45" t="s">
        <v>68</v>
      </c>
      <c r="K16" s="42" t="s">
        <v>168</v>
      </c>
      <c r="L16" s="46" t="s">
        <v>39</v>
      </c>
    </row>
    <row r="17" spans="1:12" ht="41.25" customHeight="1" x14ac:dyDescent="0.3">
      <c r="A17" s="41" t="s">
        <v>169</v>
      </c>
      <c r="B17" s="42" t="s">
        <v>25</v>
      </c>
      <c r="C17" s="43" t="s">
        <v>32</v>
      </c>
      <c r="D17" s="42" t="s">
        <v>170</v>
      </c>
      <c r="E17" s="42" t="s">
        <v>156</v>
      </c>
      <c r="F17" s="42" t="s">
        <v>171</v>
      </c>
      <c r="G17" s="42" t="s">
        <v>172</v>
      </c>
      <c r="H17" s="42" t="s">
        <v>173</v>
      </c>
      <c r="I17" s="44" t="s">
        <v>174</v>
      </c>
      <c r="J17" s="45" t="s">
        <v>68</v>
      </c>
      <c r="K17" s="42" t="s">
        <v>175</v>
      </c>
      <c r="L17" s="46" t="s">
        <v>39</v>
      </c>
    </row>
    <row r="18" spans="1:12" ht="41.25" customHeight="1" x14ac:dyDescent="0.3">
      <c r="A18" s="41" t="s">
        <v>176</v>
      </c>
      <c r="B18" s="42" t="s">
        <v>25</v>
      </c>
      <c r="C18" s="43" t="s">
        <v>33</v>
      </c>
      <c r="D18" s="42" t="s">
        <v>177</v>
      </c>
      <c r="E18" s="42" t="s">
        <v>156</v>
      </c>
      <c r="F18" s="42" t="s">
        <v>178</v>
      </c>
      <c r="G18" s="42" t="s">
        <v>179</v>
      </c>
      <c r="H18" s="42" t="s">
        <v>180</v>
      </c>
      <c r="I18" s="44" t="s">
        <v>181</v>
      </c>
      <c r="J18" s="45" t="s">
        <v>68</v>
      </c>
      <c r="K18" s="42" t="s">
        <v>182</v>
      </c>
      <c r="L18" s="46" t="s">
        <v>39</v>
      </c>
    </row>
    <row r="19" spans="1:12" ht="54.75" customHeight="1" x14ac:dyDescent="0.3">
      <c r="A19" s="41" t="s">
        <v>183</v>
      </c>
      <c r="B19" s="42" t="s">
        <v>28</v>
      </c>
      <c r="C19" s="43" t="s">
        <v>32</v>
      </c>
      <c r="D19" s="42" t="s">
        <v>184</v>
      </c>
      <c r="E19" s="42" t="s">
        <v>185</v>
      </c>
      <c r="F19" s="42" t="s">
        <v>186</v>
      </c>
      <c r="G19" s="42" t="s">
        <v>187</v>
      </c>
      <c r="H19" s="42" t="s">
        <v>188</v>
      </c>
      <c r="I19" s="44" t="s">
        <v>189</v>
      </c>
      <c r="J19" s="45" t="s">
        <v>68</v>
      </c>
      <c r="K19" s="42" t="s">
        <v>190</v>
      </c>
      <c r="L19" s="46" t="s">
        <v>39</v>
      </c>
    </row>
    <row r="20" spans="1:12" ht="41.25" customHeight="1" x14ac:dyDescent="0.3">
      <c r="A20" s="41" t="s">
        <v>191</v>
      </c>
      <c r="B20" s="42" t="s">
        <v>25</v>
      </c>
      <c r="C20" s="43" t="s">
        <v>33</v>
      </c>
      <c r="D20" s="42" t="s">
        <v>192</v>
      </c>
      <c r="E20" s="42" t="s">
        <v>156</v>
      </c>
      <c r="F20" s="42" t="s">
        <v>193</v>
      </c>
      <c r="G20" s="42" t="s">
        <v>187</v>
      </c>
      <c r="H20" s="42" t="s">
        <v>194</v>
      </c>
      <c r="I20" s="44" t="s">
        <v>195</v>
      </c>
      <c r="J20" s="45" t="s">
        <v>68</v>
      </c>
      <c r="K20" s="42" t="s">
        <v>196</v>
      </c>
      <c r="L20" s="46" t="s">
        <v>39</v>
      </c>
    </row>
    <row r="21" spans="1:12" ht="41.25" customHeight="1" x14ac:dyDescent="0.3">
      <c r="A21" s="41" t="s">
        <v>197</v>
      </c>
      <c r="B21" s="42" t="s">
        <v>25</v>
      </c>
      <c r="C21" s="43" t="s">
        <v>34</v>
      </c>
      <c r="D21" s="42" t="s">
        <v>198</v>
      </c>
      <c r="E21" s="42" t="s">
        <v>156</v>
      </c>
      <c r="F21" s="42" t="s">
        <v>199</v>
      </c>
      <c r="G21" s="42" t="s">
        <v>158</v>
      </c>
      <c r="H21" s="42" t="s">
        <v>200</v>
      </c>
      <c r="I21" s="44" t="s">
        <v>201</v>
      </c>
      <c r="J21" s="45" t="s">
        <v>68</v>
      </c>
      <c r="K21" s="42" t="s">
        <v>202</v>
      </c>
      <c r="L21" s="46" t="s">
        <v>39</v>
      </c>
    </row>
    <row r="22" spans="1:12" ht="41.25" customHeight="1" x14ac:dyDescent="0.3">
      <c r="A22" s="41" t="s">
        <v>203</v>
      </c>
      <c r="B22" s="42" t="s">
        <v>25</v>
      </c>
      <c r="C22" s="43" t="s">
        <v>33</v>
      </c>
      <c r="D22" s="42" t="s">
        <v>204</v>
      </c>
      <c r="E22" s="42" t="s">
        <v>156</v>
      </c>
      <c r="F22" s="42" t="s">
        <v>205</v>
      </c>
      <c r="G22" s="42" t="s">
        <v>206</v>
      </c>
      <c r="H22" s="42" t="s">
        <v>207</v>
      </c>
      <c r="I22" s="44" t="s">
        <v>208</v>
      </c>
      <c r="J22" s="45" t="s">
        <v>68</v>
      </c>
      <c r="K22" s="42" t="s">
        <v>209</v>
      </c>
      <c r="L22" s="46" t="s">
        <v>39</v>
      </c>
    </row>
    <row r="23" spans="1:12" ht="54.75" customHeight="1" x14ac:dyDescent="0.3">
      <c r="A23" s="41" t="s">
        <v>210</v>
      </c>
      <c r="B23" s="42" t="s">
        <v>29</v>
      </c>
      <c r="C23" s="43" t="s">
        <v>32</v>
      </c>
      <c r="D23" s="42" t="s">
        <v>211</v>
      </c>
      <c r="E23" s="42" t="s">
        <v>212</v>
      </c>
      <c r="F23" s="42" t="s">
        <v>213</v>
      </c>
      <c r="G23" s="42" t="s">
        <v>187</v>
      </c>
      <c r="H23" s="42" t="s">
        <v>214</v>
      </c>
      <c r="I23" s="44" t="s">
        <v>215</v>
      </c>
      <c r="J23" s="45" t="s">
        <v>68</v>
      </c>
      <c r="K23" s="42" t="s">
        <v>216</v>
      </c>
      <c r="L23" s="46" t="s">
        <v>39</v>
      </c>
    </row>
    <row r="24" spans="1:12" ht="54.75" customHeight="1" x14ac:dyDescent="0.3">
      <c r="A24" s="41" t="s">
        <v>217</v>
      </c>
      <c r="B24" s="42" t="s">
        <v>29</v>
      </c>
      <c r="C24" s="43" t="s">
        <v>32</v>
      </c>
      <c r="D24" s="42" t="s">
        <v>218</v>
      </c>
      <c r="E24" s="42" t="s">
        <v>212</v>
      </c>
      <c r="F24" s="42" t="s">
        <v>219</v>
      </c>
      <c r="G24" s="42" t="s">
        <v>187</v>
      </c>
      <c r="H24" s="42" t="s">
        <v>220</v>
      </c>
      <c r="I24" s="44" t="s">
        <v>221</v>
      </c>
      <c r="J24" s="45" t="s">
        <v>68</v>
      </c>
      <c r="K24" s="42" t="s">
        <v>222</v>
      </c>
      <c r="L24" s="46" t="s">
        <v>39</v>
      </c>
    </row>
    <row r="25" spans="1:12" ht="54.75" customHeight="1" x14ac:dyDescent="0.3">
      <c r="A25" s="41" t="s">
        <v>223</v>
      </c>
      <c r="B25" s="42" t="s">
        <v>29</v>
      </c>
      <c r="C25" s="43" t="s">
        <v>33</v>
      </c>
      <c r="D25" s="42" t="s">
        <v>224</v>
      </c>
      <c r="E25" s="42" t="s">
        <v>212</v>
      </c>
      <c r="F25" s="42" t="s">
        <v>225</v>
      </c>
      <c r="G25" s="42" t="s">
        <v>187</v>
      </c>
      <c r="H25" s="42" t="s">
        <v>226</v>
      </c>
      <c r="I25" s="44" t="s">
        <v>227</v>
      </c>
      <c r="J25" s="45" t="s">
        <v>68</v>
      </c>
      <c r="K25" s="42" t="s">
        <v>228</v>
      </c>
      <c r="L25" s="46" t="s">
        <v>39</v>
      </c>
    </row>
    <row r="26" spans="1:12" ht="54.75" customHeight="1" x14ac:dyDescent="0.3">
      <c r="A26" s="41" t="s">
        <v>229</v>
      </c>
      <c r="B26" s="42" t="s">
        <v>28</v>
      </c>
      <c r="C26" s="43" t="s">
        <v>32</v>
      </c>
      <c r="D26" s="42" t="s">
        <v>230</v>
      </c>
      <c r="E26" s="42" t="s">
        <v>212</v>
      </c>
      <c r="F26" s="42" t="s">
        <v>231</v>
      </c>
      <c r="G26" s="42" t="s">
        <v>187</v>
      </c>
      <c r="H26" s="42" t="s">
        <v>188</v>
      </c>
      <c r="I26" s="44" t="s">
        <v>232</v>
      </c>
      <c r="J26" s="45" t="s">
        <v>68</v>
      </c>
      <c r="K26" s="42" t="s">
        <v>233</v>
      </c>
      <c r="L26" s="46" t="s">
        <v>39</v>
      </c>
    </row>
    <row r="27" spans="1:12" ht="54.75" customHeight="1" x14ac:dyDescent="0.3">
      <c r="A27" s="41" t="s">
        <v>234</v>
      </c>
      <c r="B27" s="42" t="s">
        <v>27</v>
      </c>
      <c r="C27" s="43" t="s">
        <v>32</v>
      </c>
      <c r="D27" s="42" t="s">
        <v>235</v>
      </c>
      <c r="E27" s="42" t="s">
        <v>212</v>
      </c>
      <c r="F27" s="42" t="s">
        <v>236</v>
      </c>
      <c r="G27" s="42" t="s">
        <v>187</v>
      </c>
      <c r="H27" s="42" t="s">
        <v>237</v>
      </c>
      <c r="I27" s="44" t="s">
        <v>238</v>
      </c>
      <c r="J27" s="45" t="s">
        <v>68</v>
      </c>
      <c r="K27" s="42" t="s">
        <v>239</v>
      </c>
      <c r="L27" s="46" t="s">
        <v>39</v>
      </c>
    </row>
    <row r="28" spans="1:12" ht="54.75" customHeight="1" x14ac:dyDescent="0.3">
      <c r="A28" s="41" t="s">
        <v>240</v>
      </c>
      <c r="B28" s="42" t="s">
        <v>25</v>
      </c>
      <c r="C28" s="43" t="s">
        <v>33</v>
      </c>
      <c r="D28" s="42" t="s">
        <v>241</v>
      </c>
      <c r="E28" s="42" t="s">
        <v>212</v>
      </c>
      <c r="F28" s="42" t="s">
        <v>242</v>
      </c>
      <c r="G28" s="42" t="s">
        <v>158</v>
      </c>
      <c r="H28" s="42" t="s">
        <v>243</v>
      </c>
      <c r="I28" s="44" t="s">
        <v>244</v>
      </c>
      <c r="J28" s="45" t="s">
        <v>68</v>
      </c>
      <c r="K28" s="42" t="s">
        <v>182</v>
      </c>
      <c r="L28" s="46" t="s">
        <v>39</v>
      </c>
    </row>
    <row r="29" spans="1:12" ht="69" customHeight="1" x14ac:dyDescent="0.3">
      <c r="A29" s="41" t="s">
        <v>245</v>
      </c>
      <c r="B29" s="42" t="s">
        <v>26</v>
      </c>
      <c r="C29" s="43" t="s">
        <v>32</v>
      </c>
      <c r="D29" s="42" t="s">
        <v>246</v>
      </c>
      <c r="E29" s="42" t="s">
        <v>247</v>
      </c>
      <c r="F29" s="42" t="s">
        <v>248</v>
      </c>
      <c r="G29" s="42" t="s">
        <v>249</v>
      </c>
      <c r="H29" s="42" t="s">
        <v>250</v>
      </c>
      <c r="I29" s="44" t="s">
        <v>251</v>
      </c>
      <c r="J29" s="45" t="s">
        <v>68</v>
      </c>
      <c r="K29" s="42" t="s">
        <v>252</v>
      </c>
      <c r="L29" s="46" t="s">
        <v>40</v>
      </c>
    </row>
    <row r="30" spans="1:12" ht="69" customHeight="1" x14ac:dyDescent="0.3">
      <c r="A30" s="41" t="s">
        <v>253</v>
      </c>
      <c r="B30" s="42" t="s">
        <v>29</v>
      </c>
      <c r="C30" s="43" t="s">
        <v>34</v>
      </c>
      <c r="D30" s="42" t="s">
        <v>254</v>
      </c>
      <c r="E30" s="42" t="s">
        <v>212</v>
      </c>
      <c r="F30" s="42" t="s">
        <v>255</v>
      </c>
      <c r="G30" s="42" t="s">
        <v>187</v>
      </c>
      <c r="H30" s="42" t="s">
        <v>256</v>
      </c>
      <c r="I30" s="44" t="s">
        <v>257</v>
      </c>
      <c r="J30" s="45" t="s">
        <v>68</v>
      </c>
      <c r="K30" s="42" t="s">
        <v>258</v>
      </c>
      <c r="L30" s="46" t="s">
        <v>39</v>
      </c>
    </row>
    <row r="31" spans="1:12" ht="54.75" customHeight="1" x14ac:dyDescent="0.3">
      <c r="A31" s="41" t="s">
        <v>259</v>
      </c>
      <c r="B31" s="42" t="s">
        <v>27</v>
      </c>
      <c r="C31" s="43" t="s">
        <v>33</v>
      </c>
      <c r="D31" s="42" t="s">
        <v>260</v>
      </c>
      <c r="E31" s="42" t="s">
        <v>212</v>
      </c>
      <c r="F31" s="42" t="s">
        <v>261</v>
      </c>
      <c r="G31" s="42" t="s">
        <v>187</v>
      </c>
      <c r="H31" s="42" t="s">
        <v>262</v>
      </c>
      <c r="I31" s="44" t="s">
        <v>263</v>
      </c>
      <c r="J31" s="45" t="s">
        <v>68</v>
      </c>
      <c r="K31" s="42" t="s">
        <v>264</v>
      </c>
      <c r="L31" s="46" t="s">
        <v>39</v>
      </c>
    </row>
    <row r="32" spans="1:12" ht="69" customHeight="1" x14ac:dyDescent="0.3">
      <c r="A32" s="41" t="s">
        <v>265</v>
      </c>
      <c r="B32" s="42" t="s">
        <v>13</v>
      </c>
      <c r="C32" s="43" t="s">
        <v>32</v>
      </c>
      <c r="D32" s="42" t="s">
        <v>266</v>
      </c>
      <c r="E32" s="42" t="s">
        <v>267</v>
      </c>
      <c r="F32" s="47" t="s">
        <v>268</v>
      </c>
      <c r="G32" s="42" t="s">
        <v>269</v>
      </c>
      <c r="H32" s="47" t="s">
        <v>270</v>
      </c>
      <c r="I32" s="44" t="s">
        <v>271</v>
      </c>
      <c r="J32" s="45" t="s">
        <v>68</v>
      </c>
      <c r="K32" s="42" t="s">
        <v>272</v>
      </c>
      <c r="L32" s="46" t="s">
        <v>39</v>
      </c>
    </row>
    <row r="33" spans="1:12" ht="41.25" customHeight="1" x14ac:dyDescent="0.3">
      <c r="A33" s="41" t="s">
        <v>273</v>
      </c>
      <c r="B33" s="42" t="s">
        <v>13</v>
      </c>
      <c r="C33" s="43" t="s">
        <v>33</v>
      </c>
      <c r="D33" s="42" t="s">
        <v>274</v>
      </c>
      <c r="E33" s="42" t="s">
        <v>267</v>
      </c>
      <c r="F33" s="42" t="s">
        <v>275</v>
      </c>
      <c r="G33" s="42" t="s">
        <v>276</v>
      </c>
      <c r="H33" s="42" t="s">
        <v>277</v>
      </c>
      <c r="I33" s="44" t="s">
        <v>278</v>
      </c>
      <c r="J33" s="45" t="s">
        <v>68</v>
      </c>
      <c r="K33" s="47" t="s">
        <v>279</v>
      </c>
      <c r="L33" s="46" t="s">
        <v>39</v>
      </c>
    </row>
    <row r="34" spans="1:12" ht="41.25" customHeight="1" x14ac:dyDescent="0.3">
      <c r="A34" s="41" t="s">
        <v>280</v>
      </c>
      <c r="B34" s="42" t="s">
        <v>13</v>
      </c>
      <c r="C34" s="43" t="s">
        <v>33</v>
      </c>
      <c r="D34" s="42" t="s">
        <v>281</v>
      </c>
      <c r="E34" s="42" t="s">
        <v>267</v>
      </c>
      <c r="F34" s="42" t="s">
        <v>282</v>
      </c>
      <c r="G34" s="42" t="s">
        <v>283</v>
      </c>
      <c r="H34" s="42" t="s">
        <v>284</v>
      </c>
      <c r="I34" s="44" t="s">
        <v>285</v>
      </c>
      <c r="J34" s="45" t="s">
        <v>68</v>
      </c>
      <c r="K34" s="47" t="s">
        <v>279</v>
      </c>
      <c r="L34" s="46" t="s">
        <v>39</v>
      </c>
    </row>
    <row r="35" spans="1:12" ht="41.25" customHeight="1" x14ac:dyDescent="0.3">
      <c r="A35" s="41" t="s">
        <v>286</v>
      </c>
      <c r="B35" s="42" t="s">
        <v>13</v>
      </c>
      <c r="C35" s="43" t="s">
        <v>33</v>
      </c>
      <c r="D35" s="42" t="s">
        <v>287</v>
      </c>
      <c r="E35" s="42" t="s">
        <v>267</v>
      </c>
      <c r="F35" s="42" t="s">
        <v>288</v>
      </c>
      <c r="G35" s="42" t="s">
        <v>289</v>
      </c>
      <c r="H35" s="42" t="s">
        <v>290</v>
      </c>
      <c r="I35" s="44" t="s">
        <v>291</v>
      </c>
      <c r="J35" s="45" t="s">
        <v>68</v>
      </c>
      <c r="K35" s="47" t="s">
        <v>279</v>
      </c>
      <c r="L35" s="46" t="s">
        <v>39</v>
      </c>
    </row>
    <row r="36" spans="1:12" ht="54.75" customHeight="1" x14ac:dyDescent="0.3">
      <c r="A36" s="41" t="s">
        <v>292</v>
      </c>
      <c r="B36" s="42" t="s">
        <v>15</v>
      </c>
      <c r="C36" s="43" t="s">
        <v>33</v>
      </c>
      <c r="D36" s="42" t="s">
        <v>293</v>
      </c>
      <c r="E36" s="42" t="s">
        <v>294</v>
      </c>
      <c r="F36" s="42" t="s">
        <v>295</v>
      </c>
      <c r="G36" s="42" t="s">
        <v>296</v>
      </c>
      <c r="H36" s="42" t="s">
        <v>297</v>
      </c>
      <c r="I36" s="44" t="s">
        <v>298</v>
      </c>
      <c r="J36" s="45" t="s">
        <v>68</v>
      </c>
      <c r="K36" s="42" t="s">
        <v>299</v>
      </c>
      <c r="L36" s="46" t="s">
        <v>39</v>
      </c>
    </row>
    <row r="37" spans="1:12" ht="69" customHeight="1" x14ac:dyDescent="0.3">
      <c r="A37" s="41" t="s">
        <v>300</v>
      </c>
      <c r="B37" s="42" t="s">
        <v>14</v>
      </c>
      <c r="C37" s="43" t="s">
        <v>34</v>
      </c>
      <c r="D37" s="42" t="s">
        <v>301</v>
      </c>
      <c r="E37" s="42" t="s">
        <v>302</v>
      </c>
      <c r="F37" s="42" t="s">
        <v>303</v>
      </c>
      <c r="G37" s="42" t="s">
        <v>187</v>
      </c>
      <c r="H37" s="42" t="s">
        <v>304</v>
      </c>
      <c r="I37" s="44" t="s">
        <v>305</v>
      </c>
      <c r="J37" s="45" t="s">
        <v>68</v>
      </c>
      <c r="K37" s="42" t="s">
        <v>306</v>
      </c>
      <c r="L37" s="46" t="s">
        <v>39</v>
      </c>
    </row>
    <row r="38" spans="1:12" ht="69" customHeight="1" x14ac:dyDescent="0.3">
      <c r="A38" s="41" t="s">
        <v>307</v>
      </c>
      <c r="B38" s="42" t="s">
        <v>22</v>
      </c>
      <c r="C38" s="43" t="s">
        <v>32</v>
      </c>
      <c r="D38" s="42" t="s">
        <v>308</v>
      </c>
      <c r="E38" s="42" t="s">
        <v>309</v>
      </c>
      <c r="F38" s="42" t="s">
        <v>310</v>
      </c>
      <c r="G38" s="42" t="s">
        <v>311</v>
      </c>
      <c r="H38" s="42" t="s">
        <v>312</v>
      </c>
      <c r="I38" s="44" t="s">
        <v>313</v>
      </c>
      <c r="J38" s="45" t="s">
        <v>68</v>
      </c>
      <c r="K38" s="42" t="s">
        <v>314</v>
      </c>
      <c r="L38" s="46" t="s">
        <v>39</v>
      </c>
    </row>
    <row r="39" spans="1:12" ht="54.75" customHeight="1" x14ac:dyDescent="0.3">
      <c r="A39" s="41" t="s">
        <v>315</v>
      </c>
      <c r="B39" s="42" t="s">
        <v>22</v>
      </c>
      <c r="C39" s="43" t="s">
        <v>33</v>
      </c>
      <c r="D39" s="42" t="s">
        <v>316</v>
      </c>
      <c r="E39" s="42" t="s">
        <v>309</v>
      </c>
      <c r="F39" s="42" t="s">
        <v>317</v>
      </c>
      <c r="G39" s="42" t="s">
        <v>318</v>
      </c>
      <c r="H39" s="42" t="s">
        <v>312</v>
      </c>
      <c r="I39" s="44" t="s">
        <v>319</v>
      </c>
      <c r="J39" s="45" t="s">
        <v>68</v>
      </c>
      <c r="K39" s="42" t="s">
        <v>320</v>
      </c>
      <c r="L39" s="46" t="s">
        <v>39</v>
      </c>
    </row>
    <row r="40" spans="1:12" ht="41.25" customHeight="1" x14ac:dyDescent="0.3">
      <c r="A40" s="41" t="s">
        <v>321</v>
      </c>
      <c r="B40" s="42" t="s">
        <v>22</v>
      </c>
      <c r="C40" s="43" t="s">
        <v>35</v>
      </c>
      <c r="D40" s="42" t="s">
        <v>322</v>
      </c>
      <c r="E40" s="42" t="s">
        <v>309</v>
      </c>
      <c r="F40" s="42" t="s">
        <v>323</v>
      </c>
      <c r="G40" s="42" t="s">
        <v>324</v>
      </c>
      <c r="H40" s="42" t="s">
        <v>325</v>
      </c>
      <c r="I40" s="44" t="s">
        <v>326</v>
      </c>
      <c r="J40" s="45" t="s">
        <v>68</v>
      </c>
      <c r="K40" s="42" t="s">
        <v>327</v>
      </c>
      <c r="L40" s="46" t="s">
        <v>39</v>
      </c>
    </row>
    <row r="41" spans="1:12" ht="27" customHeight="1" x14ac:dyDescent="0.3">
      <c r="A41" s="41" t="s">
        <v>328</v>
      </c>
      <c r="B41" s="42" t="s">
        <v>22</v>
      </c>
      <c r="C41" s="43" t="s">
        <v>35</v>
      </c>
      <c r="D41" s="42" t="s">
        <v>329</v>
      </c>
      <c r="E41" s="42" t="s">
        <v>309</v>
      </c>
      <c r="F41" s="42" t="s">
        <v>330</v>
      </c>
      <c r="G41" s="42" t="s">
        <v>331</v>
      </c>
      <c r="H41" s="42" t="s">
        <v>332</v>
      </c>
      <c r="I41" s="44" t="s">
        <v>333</v>
      </c>
      <c r="J41" s="45" t="s">
        <v>68</v>
      </c>
      <c r="K41" s="42" t="s">
        <v>334</v>
      </c>
      <c r="L41" s="46" t="s">
        <v>39</v>
      </c>
    </row>
    <row r="42" spans="1:12" ht="27" customHeight="1" x14ac:dyDescent="0.3">
      <c r="A42" s="41" t="s">
        <v>335</v>
      </c>
      <c r="B42" s="42" t="s">
        <v>22</v>
      </c>
      <c r="C42" s="43" t="s">
        <v>35</v>
      </c>
      <c r="D42" s="42" t="s">
        <v>336</v>
      </c>
      <c r="E42" s="42" t="s">
        <v>309</v>
      </c>
      <c r="F42" s="42" t="s">
        <v>337</v>
      </c>
      <c r="G42" s="42" t="s">
        <v>338</v>
      </c>
      <c r="H42" s="42" t="s">
        <v>325</v>
      </c>
      <c r="I42" s="44" t="s">
        <v>339</v>
      </c>
      <c r="J42" s="45" t="s">
        <v>68</v>
      </c>
      <c r="K42" s="42" t="s">
        <v>334</v>
      </c>
      <c r="L42" s="46" t="s">
        <v>39</v>
      </c>
    </row>
    <row r="43" spans="1:12" ht="27" customHeight="1" x14ac:dyDescent="0.3">
      <c r="A43" s="41" t="s">
        <v>340</v>
      </c>
      <c r="B43" s="42" t="s">
        <v>22</v>
      </c>
      <c r="C43" s="43" t="s">
        <v>35</v>
      </c>
      <c r="D43" s="42" t="s">
        <v>341</v>
      </c>
      <c r="E43" s="42" t="s">
        <v>309</v>
      </c>
      <c r="F43" s="42" t="s">
        <v>342</v>
      </c>
      <c r="G43" s="42" t="s">
        <v>343</v>
      </c>
      <c r="H43" s="42" t="s">
        <v>325</v>
      </c>
      <c r="I43" s="44" t="s">
        <v>344</v>
      </c>
      <c r="J43" s="45" t="s">
        <v>68</v>
      </c>
      <c r="K43" s="42" t="s">
        <v>334</v>
      </c>
      <c r="L43" s="46" t="s">
        <v>39</v>
      </c>
    </row>
    <row r="44" spans="1:12" ht="54.75" customHeight="1" x14ac:dyDescent="0.3">
      <c r="A44" s="41" t="s">
        <v>345</v>
      </c>
      <c r="B44" s="42" t="s">
        <v>22</v>
      </c>
      <c r="C44" s="43" t="s">
        <v>35</v>
      </c>
      <c r="D44" s="42" t="s">
        <v>346</v>
      </c>
      <c r="E44" s="42" t="s">
        <v>309</v>
      </c>
      <c r="F44" s="42" t="s">
        <v>347</v>
      </c>
      <c r="G44" s="42" t="s">
        <v>348</v>
      </c>
      <c r="H44" s="42" t="s">
        <v>349</v>
      </c>
      <c r="I44" s="44" t="s">
        <v>350</v>
      </c>
      <c r="J44" s="45" t="s">
        <v>68</v>
      </c>
      <c r="K44" s="42" t="s">
        <v>327</v>
      </c>
      <c r="L44" s="46" t="s">
        <v>39</v>
      </c>
    </row>
    <row r="45" spans="1:12" ht="54.75" customHeight="1" x14ac:dyDescent="0.3">
      <c r="A45" s="41" t="s">
        <v>351</v>
      </c>
      <c r="B45" s="42" t="s">
        <v>22</v>
      </c>
      <c r="C45" s="43" t="s">
        <v>35</v>
      </c>
      <c r="D45" s="42" t="s">
        <v>352</v>
      </c>
      <c r="E45" s="42" t="s">
        <v>309</v>
      </c>
      <c r="F45" s="42" t="s">
        <v>353</v>
      </c>
      <c r="G45" s="42" t="s">
        <v>354</v>
      </c>
      <c r="H45" s="42" t="s">
        <v>349</v>
      </c>
      <c r="I45" s="44" t="s">
        <v>355</v>
      </c>
      <c r="J45" s="45" t="s">
        <v>68</v>
      </c>
      <c r="K45" s="42" t="s">
        <v>327</v>
      </c>
      <c r="L45" s="46" t="s">
        <v>39</v>
      </c>
    </row>
    <row r="46" spans="1:12" ht="41.25" customHeight="1" x14ac:dyDescent="0.3">
      <c r="A46" s="41" t="s">
        <v>356</v>
      </c>
      <c r="B46" s="42" t="s">
        <v>22</v>
      </c>
      <c r="C46" s="43" t="s">
        <v>36</v>
      </c>
      <c r="D46" s="42" t="s">
        <v>357</v>
      </c>
      <c r="E46" s="42" t="s">
        <v>309</v>
      </c>
      <c r="F46" s="42" t="s">
        <v>358</v>
      </c>
      <c r="G46" s="42" t="s">
        <v>359</v>
      </c>
      <c r="H46" s="42" t="s">
        <v>360</v>
      </c>
      <c r="I46" s="44" t="s">
        <v>361</v>
      </c>
      <c r="J46" s="45" t="s">
        <v>68</v>
      </c>
      <c r="K46" s="42" t="s">
        <v>362</v>
      </c>
      <c r="L46" s="46" t="s">
        <v>39</v>
      </c>
    </row>
    <row r="47" spans="1:12" ht="27" customHeight="1" x14ac:dyDescent="0.3">
      <c r="A47" s="41" t="s">
        <v>363</v>
      </c>
      <c r="B47" s="42" t="s">
        <v>22</v>
      </c>
      <c r="C47" s="43" t="s">
        <v>36</v>
      </c>
      <c r="D47" s="42" t="s">
        <v>364</v>
      </c>
      <c r="E47" s="42" t="s">
        <v>309</v>
      </c>
      <c r="F47" s="42" t="s">
        <v>365</v>
      </c>
      <c r="G47" s="42" t="s">
        <v>366</v>
      </c>
      <c r="H47" s="42" t="s">
        <v>367</v>
      </c>
      <c r="I47" s="44" t="s">
        <v>368</v>
      </c>
      <c r="J47" s="45" t="s">
        <v>68</v>
      </c>
      <c r="K47" s="42" t="s">
        <v>369</v>
      </c>
      <c r="L47" s="46" t="s">
        <v>39</v>
      </c>
    </row>
    <row r="48" spans="1:12" ht="41.25" customHeight="1" x14ac:dyDescent="0.3">
      <c r="A48" s="41" t="s">
        <v>370</v>
      </c>
      <c r="B48" s="42" t="s">
        <v>22</v>
      </c>
      <c r="C48" s="43" t="s">
        <v>35</v>
      </c>
      <c r="D48" s="42" t="s">
        <v>371</v>
      </c>
      <c r="E48" s="42" t="s">
        <v>309</v>
      </c>
      <c r="F48" s="42" t="s">
        <v>372</v>
      </c>
      <c r="G48" s="42" t="s">
        <v>373</v>
      </c>
      <c r="H48" s="42" t="s">
        <v>374</v>
      </c>
      <c r="I48" s="44" t="s">
        <v>375</v>
      </c>
      <c r="J48" s="45" t="s">
        <v>68</v>
      </c>
      <c r="K48" s="42" t="s">
        <v>376</v>
      </c>
      <c r="L48" s="46" t="s">
        <v>39</v>
      </c>
    </row>
    <row r="49" spans="1:12" ht="41.25" customHeight="1" x14ac:dyDescent="0.3">
      <c r="A49" s="41" t="s">
        <v>377</v>
      </c>
      <c r="B49" s="42" t="s">
        <v>22</v>
      </c>
      <c r="C49" s="43" t="s">
        <v>35</v>
      </c>
      <c r="D49" s="42" t="s">
        <v>378</v>
      </c>
      <c r="E49" s="42" t="s">
        <v>309</v>
      </c>
      <c r="F49" s="42" t="s">
        <v>379</v>
      </c>
      <c r="G49" s="42" t="s">
        <v>380</v>
      </c>
      <c r="H49" s="42" t="s">
        <v>381</v>
      </c>
      <c r="I49" s="44" t="s">
        <v>382</v>
      </c>
      <c r="J49" s="45" t="s">
        <v>68</v>
      </c>
      <c r="K49" s="42" t="s">
        <v>383</v>
      </c>
      <c r="L49" s="46" t="s">
        <v>39</v>
      </c>
    </row>
    <row r="50" spans="1:12" ht="27" customHeight="1" x14ac:dyDescent="0.3">
      <c r="A50" s="41" t="s">
        <v>384</v>
      </c>
      <c r="B50" s="42" t="s">
        <v>22</v>
      </c>
      <c r="C50" s="43" t="s">
        <v>35</v>
      </c>
      <c r="D50" s="42" t="s">
        <v>385</v>
      </c>
      <c r="E50" s="42" t="s">
        <v>309</v>
      </c>
      <c r="F50" s="42" t="s">
        <v>386</v>
      </c>
      <c r="G50" s="42" t="s">
        <v>387</v>
      </c>
      <c r="H50" s="42" t="s">
        <v>388</v>
      </c>
      <c r="I50" s="44" t="s">
        <v>389</v>
      </c>
      <c r="J50" s="45" t="s">
        <v>68</v>
      </c>
      <c r="K50" s="42" t="s">
        <v>390</v>
      </c>
      <c r="L50" s="46" t="s">
        <v>39</v>
      </c>
    </row>
    <row r="51" spans="1:12" ht="27" customHeight="1" x14ac:dyDescent="0.3">
      <c r="A51" s="41" t="s">
        <v>391</v>
      </c>
      <c r="B51" s="42" t="s">
        <v>22</v>
      </c>
      <c r="C51" s="43" t="s">
        <v>34</v>
      </c>
      <c r="D51" s="42" t="s">
        <v>392</v>
      </c>
      <c r="E51" s="42" t="s">
        <v>309</v>
      </c>
      <c r="F51" s="42" t="s">
        <v>393</v>
      </c>
      <c r="G51" s="42" t="s">
        <v>318</v>
      </c>
      <c r="H51" s="42" t="s">
        <v>394</v>
      </c>
      <c r="I51" s="44" t="s">
        <v>395</v>
      </c>
      <c r="J51" s="45" t="s">
        <v>68</v>
      </c>
      <c r="K51" s="42" t="s">
        <v>396</v>
      </c>
      <c r="L51" s="46" t="s">
        <v>39</v>
      </c>
    </row>
    <row r="52" spans="1:12" ht="41.25" customHeight="1" x14ac:dyDescent="0.3">
      <c r="A52" s="41" t="s">
        <v>397</v>
      </c>
      <c r="B52" s="42" t="s">
        <v>19</v>
      </c>
      <c r="C52" s="43" t="s">
        <v>32</v>
      </c>
      <c r="D52" s="42" t="s">
        <v>398</v>
      </c>
      <c r="E52" s="42" t="s">
        <v>399</v>
      </c>
      <c r="F52" s="42" t="s">
        <v>400</v>
      </c>
      <c r="G52" s="42" t="s">
        <v>401</v>
      </c>
      <c r="H52" s="42" t="s">
        <v>402</v>
      </c>
      <c r="I52" s="44" t="s">
        <v>403</v>
      </c>
      <c r="J52" s="45" t="s">
        <v>68</v>
      </c>
      <c r="K52" s="42" t="s">
        <v>404</v>
      </c>
      <c r="L52" s="46" t="s">
        <v>39</v>
      </c>
    </row>
    <row r="53" spans="1:12" ht="41.25" customHeight="1" x14ac:dyDescent="0.3">
      <c r="A53" s="41" t="s">
        <v>405</v>
      </c>
      <c r="B53" s="42" t="s">
        <v>21</v>
      </c>
      <c r="C53" s="43" t="s">
        <v>32</v>
      </c>
      <c r="D53" s="42" t="s">
        <v>406</v>
      </c>
      <c r="E53" s="42" t="s">
        <v>407</v>
      </c>
      <c r="F53" s="42" t="s">
        <v>73</v>
      </c>
      <c r="G53" s="42" t="s">
        <v>408</v>
      </c>
      <c r="H53" s="42" t="s">
        <v>75</v>
      </c>
      <c r="I53" s="44" t="s">
        <v>409</v>
      </c>
      <c r="J53" s="45" t="s">
        <v>68</v>
      </c>
      <c r="K53" s="42" t="s">
        <v>410</v>
      </c>
      <c r="L53" s="46" t="s">
        <v>39</v>
      </c>
    </row>
    <row r="54" spans="1:12" ht="41.25" customHeight="1" x14ac:dyDescent="0.3">
      <c r="A54" s="41" t="s">
        <v>411</v>
      </c>
      <c r="B54" s="42" t="s">
        <v>20</v>
      </c>
      <c r="C54" s="43" t="s">
        <v>32</v>
      </c>
      <c r="D54" s="42" t="s">
        <v>412</v>
      </c>
      <c r="E54" s="42" t="s">
        <v>407</v>
      </c>
      <c r="F54" s="42" t="s">
        <v>80</v>
      </c>
      <c r="G54" s="42" t="s">
        <v>413</v>
      </c>
      <c r="H54" s="42" t="s">
        <v>82</v>
      </c>
      <c r="I54" s="44" t="s">
        <v>414</v>
      </c>
      <c r="J54" s="45" t="s">
        <v>68</v>
      </c>
      <c r="K54" s="42" t="s">
        <v>415</v>
      </c>
      <c r="L54" s="46" t="s">
        <v>39</v>
      </c>
    </row>
    <row r="55" spans="1:12" ht="41.25" customHeight="1" x14ac:dyDescent="0.3">
      <c r="A55" s="41" t="s">
        <v>416</v>
      </c>
      <c r="B55" s="42" t="s">
        <v>19</v>
      </c>
      <c r="C55" s="43" t="s">
        <v>33</v>
      </c>
      <c r="D55" s="42" t="s">
        <v>417</v>
      </c>
      <c r="E55" s="42" t="s">
        <v>399</v>
      </c>
      <c r="F55" s="42" t="s">
        <v>418</v>
      </c>
      <c r="G55" s="42" t="s">
        <v>419</v>
      </c>
      <c r="H55" s="42" t="s">
        <v>89</v>
      </c>
      <c r="I55" s="44" t="s">
        <v>420</v>
      </c>
      <c r="J55" s="45" t="s">
        <v>68</v>
      </c>
      <c r="K55" s="42" t="s">
        <v>421</v>
      </c>
      <c r="L55" s="46" t="s">
        <v>39</v>
      </c>
    </row>
    <row r="56" spans="1:12" ht="41.25" customHeight="1" x14ac:dyDescent="0.3">
      <c r="A56" s="41" t="s">
        <v>422</v>
      </c>
      <c r="B56" s="42" t="s">
        <v>19</v>
      </c>
      <c r="C56" s="43" t="s">
        <v>34</v>
      </c>
      <c r="D56" s="42" t="s">
        <v>423</v>
      </c>
      <c r="E56" s="42" t="s">
        <v>399</v>
      </c>
      <c r="F56" s="42" t="s">
        <v>424</v>
      </c>
      <c r="G56" s="42" t="s">
        <v>425</v>
      </c>
      <c r="H56" s="42" t="s">
        <v>426</v>
      </c>
      <c r="I56" s="44" t="s">
        <v>427</v>
      </c>
      <c r="J56" s="45" t="s">
        <v>68</v>
      </c>
      <c r="K56" s="42" t="s">
        <v>428</v>
      </c>
      <c r="L56" s="46" t="s">
        <v>39</v>
      </c>
    </row>
    <row r="57" spans="1:12" ht="27" customHeight="1" x14ac:dyDescent="0.3">
      <c r="A57" s="41" t="s">
        <v>429</v>
      </c>
      <c r="B57" s="42" t="s">
        <v>19</v>
      </c>
      <c r="C57" s="43" t="s">
        <v>34</v>
      </c>
      <c r="D57" s="42" t="s">
        <v>430</v>
      </c>
      <c r="E57" s="42" t="s">
        <v>399</v>
      </c>
      <c r="F57" s="42" t="s">
        <v>431</v>
      </c>
      <c r="G57" s="42" t="s">
        <v>432</v>
      </c>
      <c r="H57" s="42" t="s">
        <v>110</v>
      </c>
      <c r="I57" s="44" t="s">
        <v>433</v>
      </c>
      <c r="J57" s="45" t="s">
        <v>68</v>
      </c>
      <c r="K57" s="42" t="s">
        <v>434</v>
      </c>
      <c r="L57" s="46" t="s">
        <v>39</v>
      </c>
    </row>
    <row r="58" spans="1:12" ht="41.25" customHeight="1" x14ac:dyDescent="0.3">
      <c r="A58" s="41" t="s">
        <v>435</v>
      </c>
      <c r="B58" s="42" t="s">
        <v>19</v>
      </c>
      <c r="C58" s="43" t="s">
        <v>36</v>
      </c>
      <c r="D58" s="42" t="s">
        <v>436</v>
      </c>
      <c r="E58" s="42" t="s">
        <v>399</v>
      </c>
      <c r="F58" s="42" t="s">
        <v>142</v>
      </c>
      <c r="G58" s="42" t="s">
        <v>437</v>
      </c>
      <c r="H58" s="42" t="s">
        <v>144</v>
      </c>
      <c r="I58" s="44" t="s">
        <v>438</v>
      </c>
      <c r="J58" s="45" t="s">
        <v>68</v>
      </c>
      <c r="K58" s="42" t="s">
        <v>439</v>
      </c>
      <c r="L58" s="46" t="s">
        <v>40</v>
      </c>
    </row>
    <row r="59" spans="1:12" ht="41.25" customHeight="1" x14ac:dyDescent="0.3">
      <c r="A59" s="41" t="s">
        <v>440</v>
      </c>
      <c r="B59" s="42" t="s">
        <v>19</v>
      </c>
      <c r="C59" s="43" t="s">
        <v>35</v>
      </c>
      <c r="D59" s="42" t="s">
        <v>441</v>
      </c>
      <c r="E59" s="42" t="s">
        <v>399</v>
      </c>
      <c r="F59" s="42" t="s">
        <v>122</v>
      </c>
      <c r="G59" s="42" t="s">
        <v>442</v>
      </c>
      <c r="H59" s="42" t="s">
        <v>443</v>
      </c>
      <c r="I59" s="44" t="s">
        <v>444</v>
      </c>
      <c r="J59" s="45" t="s">
        <v>68</v>
      </c>
      <c r="K59" s="42" t="s">
        <v>445</v>
      </c>
      <c r="L59" s="46" t="s">
        <v>39</v>
      </c>
    </row>
    <row r="60" spans="1:12" ht="41.25" customHeight="1" x14ac:dyDescent="0.3">
      <c r="A60" s="41" t="s">
        <v>446</v>
      </c>
      <c r="B60" s="42" t="s">
        <v>19</v>
      </c>
      <c r="C60" s="43" t="s">
        <v>34</v>
      </c>
      <c r="D60" s="42" t="s">
        <v>127</v>
      </c>
      <c r="E60" s="42" t="s">
        <v>399</v>
      </c>
      <c r="F60" s="42" t="s">
        <v>447</v>
      </c>
      <c r="G60" s="42" t="s">
        <v>401</v>
      </c>
      <c r="H60" s="42" t="s">
        <v>448</v>
      </c>
      <c r="I60" s="44" t="s">
        <v>449</v>
      </c>
      <c r="J60" s="45" t="s">
        <v>68</v>
      </c>
      <c r="K60" s="42" t="s">
        <v>131</v>
      </c>
      <c r="L60" s="46" t="s">
        <v>39</v>
      </c>
    </row>
    <row r="61" spans="1:12" ht="27" customHeight="1" x14ac:dyDescent="0.3">
      <c r="A61" s="41" t="s">
        <v>450</v>
      </c>
      <c r="B61" s="42" t="s">
        <v>20</v>
      </c>
      <c r="C61" s="43" t="s">
        <v>33</v>
      </c>
      <c r="D61" s="42" t="s">
        <v>451</v>
      </c>
      <c r="E61" s="42" t="s">
        <v>452</v>
      </c>
      <c r="F61" s="42" t="s">
        <v>453</v>
      </c>
      <c r="G61" s="42" t="s">
        <v>454</v>
      </c>
      <c r="H61" s="42" t="s">
        <v>455</v>
      </c>
      <c r="I61" s="44" t="s">
        <v>456</v>
      </c>
      <c r="J61" s="45" t="s">
        <v>68</v>
      </c>
      <c r="K61" s="42" t="s">
        <v>457</v>
      </c>
      <c r="L61" s="46" t="s">
        <v>39</v>
      </c>
    </row>
    <row r="62" spans="1:12" ht="41.25" customHeight="1" x14ac:dyDescent="0.3">
      <c r="A62" s="41" t="s">
        <v>458</v>
      </c>
      <c r="B62" s="42" t="s">
        <v>19</v>
      </c>
      <c r="C62" s="43" t="s">
        <v>36</v>
      </c>
      <c r="D62" s="42" t="s">
        <v>459</v>
      </c>
      <c r="E62" s="42" t="s">
        <v>399</v>
      </c>
      <c r="F62" s="42" t="s">
        <v>149</v>
      </c>
      <c r="G62" s="42" t="s">
        <v>460</v>
      </c>
      <c r="H62" s="42" t="s">
        <v>151</v>
      </c>
      <c r="I62" s="44" t="s">
        <v>461</v>
      </c>
      <c r="J62" s="45" t="s">
        <v>68</v>
      </c>
      <c r="K62" s="42" t="s">
        <v>153</v>
      </c>
      <c r="L62" s="46" t="s">
        <v>39</v>
      </c>
    </row>
    <row r="63" spans="1:12" ht="41.25" customHeight="1" x14ac:dyDescent="0.3">
      <c r="A63" s="41" t="s">
        <v>462</v>
      </c>
      <c r="B63" s="42" t="s">
        <v>23</v>
      </c>
      <c r="C63" s="43" t="s">
        <v>32</v>
      </c>
      <c r="D63" s="42" t="s">
        <v>463</v>
      </c>
      <c r="E63" s="42" t="s">
        <v>464</v>
      </c>
      <c r="F63" s="42" t="s">
        <v>465</v>
      </c>
      <c r="G63" s="42" t="s">
        <v>466</v>
      </c>
      <c r="H63" s="42" t="s">
        <v>467</v>
      </c>
      <c r="I63" s="44" t="s">
        <v>468</v>
      </c>
      <c r="J63" s="45" t="s">
        <v>68</v>
      </c>
      <c r="K63" s="42" t="s">
        <v>469</v>
      </c>
      <c r="L63" s="46" t="s">
        <v>39</v>
      </c>
    </row>
    <row r="64" spans="1:12" ht="41.25" customHeight="1" x14ac:dyDescent="0.3">
      <c r="A64" s="41" t="s">
        <v>470</v>
      </c>
      <c r="B64" s="42" t="s">
        <v>23</v>
      </c>
      <c r="C64" s="43" t="s">
        <v>33</v>
      </c>
      <c r="D64" s="42" t="s">
        <v>471</v>
      </c>
      <c r="E64" s="42" t="s">
        <v>464</v>
      </c>
      <c r="F64" s="42" t="s">
        <v>472</v>
      </c>
      <c r="G64" s="42" t="s">
        <v>466</v>
      </c>
      <c r="H64" s="42" t="s">
        <v>467</v>
      </c>
      <c r="I64" s="44" t="s">
        <v>473</v>
      </c>
      <c r="J64" s="45" t="s">
        <v>68</v>
      </c>
      <c r="K64" s="42" t="s">
        <v>474</v>
      </c>
      <c r="L64" s="46" t="s">
        <v>39</v>
      </c>
    </row>
    <row r="65" spans="1:12" ht="41.25" customHeight="1" x14ac:dyDescent="0.3">
      <c r="A65" s="41" t="s">
        <v>475</v>
      </c>
      <c r="B65" s="42" t="s">
        <v>23</v>
      </c>
      <c r="C65" s="43" t="s">
        <v>33</v>
      </c>
      <c r="D65" s="42" t="s">
        <v>476</v>
      </c>
      <c r="E65" s="42" t="s">
        <v>464</v>
      </c>
      <c r="F65" s="42" t="s">
        <v>477</v>
      </c>
      <c r="G65" s="42" t="s">
        <v>478</v>
      </c>
      <c r="H65" s="42" t="s">
        <v>479</v>
      </c>
      <c r="I65" s="44" t="s">
        <v>480</v>
      </c>
      <c r="J65" s="45" t="s">
        <v>68</v>
      </c>
      <c r="K65" s="42" t="s">
        <v>481</v>
      </c>
      <c r="L65" s="46" t="s">
        <v>39</v>
      </c>
    </row>
    <row r="66" spans="1:12" ht="41.25" customHeight="1" x14ac:dyDescent="0.3">
      <c r="A66" s="41" t="s">
        <v>482</v>
      </c>
      <c r="B66" s="42" t="s">
        <v>23</v>
      </c>
      <c r="C66" s="43" t="s">
        <v>33</v>
      </c>
      <c r="D66" s="42" t="s">
        <v>483</v>
      </c>
      <c r="E66" s="42" t="s">
        <v>464</v>
      </c>
      <c r="F66" s="42" t="s">
        <v>484</v>
      </c>
      <c r="G66" s="42" t="s">
        <v>485</v>
      </c>
      <c r="H66" s="42" t="s">
        <v>479</v>
      </c>
      <c r="I66" s="44" t="s">
        <v>486</v>
      </c>
      <c r="J66" s="45" t="s">
        <v>68</v>
      </c>
      <c r="K66" s="42" t="s">
        <v>487</v>
      </c>
      <c r="L66" s="46" t="s">
        <v>39</v>
      </c>
    </row>
    <row r="67" spans="1:12" ht="41.25" customHeight="1" x14ac:dyDescent="0.3">
      <c r="A67" s="41" t="s">
        <v>488</v>
      </c>
      <c r="B67" s="42" t="s">
        <v>23</v>
      </c>
      <c r="C67" s="43" t="s">
        <v>32</v>
      </c>
      <c r="D67" s="42" t="s">
        <v>489</v>
      </c>
      <c r="E67" s="42" t="s">
        <v>464</v>
      </c>
      <c r="F67" s="42" t="s">
        <v>490</v>
      </c>
      <c r="G67" s="42" t="s">
        <v>491</v>
      </c>
      <c r="H67" s="42" t="s">
        <v>492</v>
      </c>
      <c r="I67" s="44" t="s">
        <v>493</v>
      </c>
      <c r="J67" s="45" t="s">
        <v>68</v>
      </c>
      <c r="K67" s="42" t="s">
        <v>494</v>
      </c>
      <c r="L67" s="46" t="s">
        <v>39</v>
      </c>
    </row>
    <row r="68" spans="1:12" ht="41.25" customHeight="1" x14ac:dyDescent="0.3">
      <c r="A68" s="41" t="s">
        <v>495</v>
      </c>
      <c r="B68" s="42" t="s">
        <v>23</v>
      </c>
      <c r="C68" s="43" t="s">
        <v>32</v>
      </c>
      <c r="D68" s="42" t="s">
        <v>496</v>
      </c>
      <c r="E68" s="42" t="s">
        <v>464</v>
      </c>
      <c r="F68" s="42" t="s">
        <v>497</v>
      </c>
      <c r="G68" s="42" t="s">
        <v>498</v>
      </c>
      <c r="H68" s="42" t="s">
        <v>499</v>
      </c>
      <c r="I68" s="44" t="s">
        <v>500</v>
      </c>
      <c r="J68" s="45" t="s">
        <v>68</v>
      </c>
      <c r="K68" s="42" t="s">
        <v>501</v>
      </c>
      <c r="L68" s="46" t="s">
        <v>39</v>
      </c>
    </row>
    <row r="69" spans="1:12" ht="41.25" customHeight="1" x14ac:dyDescent="0.3">
      <c r="A69" s="41" t="s">
        <v>502</v>
      </c>
      <c r="B69" s="42" t="s">
        <v>23</v>
      </c>
      <c r="C69" s="43" t="s">
        <v>32</v>
      </c>
      <c r="D69" s="42" t="s">
        <v>503</v>
      </c>
      <c r="E69" s="42" t="s">
        <v>464</v>
      </c>
      <c r="F69" s="42" t="s">
        <v>504</v>
      </c>
      <c r="G69" s="42" t="s">
        <v>505</v>
      </c>
      <c r="H69" s="42" t="s">
        <v>499</v>
      </c>
      <c r="I69" s="44" t="s">
        <v>506</v>
      </c>
      <c r="J69" s="45" t="s">
        <v>68</v>
      </c>
      <c r="K69" s="42" t="s">
        <v>507</v>
      </c>
      <c r="L69" s="46" t="s">
        <v>39</v>
      </c>
    </row>
    <row r="70" spans="1:12" ht="41.25" customHeight="1" x14ac:dyDescent="0.3">
      <c r="A70" s="41" t="s">
        <v>508</v>
      </c>
      <c r="B70" s="42" t="s">
        <v>24</v>
      </c>
      <c r="C70" s="43" t="s">
        <v>32</v>
      </c>
      <c r="D70" s="42" t="s">
        <v>509</v>
      </c>
      <c r="E70" s="42" t="s">
        <v>464</v>
      </c>
      <c r="F70" s="42" t="s">
        <v>510</v>
      </c>
      <c r="G70" s="42" t="s">
        <v>511</v>
      </c>
      <c r="H70" s="42" t="s">
        <v>512</v>
      </c>
      <c r="I70" s="44" t="s">
        <v>513</v>
      </c>
      <c r="J70" s="45" t="s">
        <v>68</v>
      </c>
      <c r="K70" s="42" t="s">
        <v>514</v>
      </c>
      <c r="L70" s="46" t="s">
        <v>39</v>
      </c>
    </row>
    <row r="71" spans="1:12" ht="41.25" customHeight="1" x14ac:dyDescent="0.3">
      <c r="A71" s="41" t="s">
        <v>515</v>
      </c>
      <c r="B71" s="42" t="s">
        <v>23</v>
      </c>
      <c r="C71" s="43" t="s">
        <v>34</v>
      </c>
      <c r="D71" s="42" t="s">
        <v>516</v>
      </c>
      <c r="E71" s="42" t="s">
        <v>464</v>
      </c>
      <c r="F71" s="42" t="s">
        <v>517</v>
      </c>
      <c r="G71" s="42" t="s">
        <v>518</v>
      </c>
      <c r="H71" s="42" t="s">
        <v>519</v>
      </c>
      <c r="I71" s="44" t="s">
        <v>520</v>
      </c>
      <c r="J71" s="45" t="s">
        <v>68</v>
      </c>
      <c r="K71" s="42" t="s">
        <v>521</v>
      </c>
      <c r="L71" s="46" t="s">
        <v>39</v>
      </c>
    </row>
    <row r="72" spans="1:12" ht="41.25" customHeight="1" x14ac:dyDescent="0.3">
      <c r="A72" s="41" t="s">
        <v>522</v>
      </c>
      <c r="B72" s="42" t="s">
        <v>23</v>
      </c>
      <c r="C72" s="43" t="s">
        <v>34</v>
      </c>
      <c r="D72" s="42" t="s">
        <v>523</v>
      </c>
      <c r="E72" s="42" t="s">
        <v>464</v>
      </c>
      <c r="F72" s="42" t="s">
        <v>524</v>
      </c>
      <c r="G72" s="42" t="s">
        <v>525</v>
      </c>
      <c r="H72" s="42" t="s">
        <v>526</v>
      </c>
      <c r="I72" s="44" t="s">
        <v>527</v>
      </c>
      <c r="J72" s="45" t="s">
        <v>68</v>
      </c>
      <c r="K72" s="42" t="s">
        <v>528</v>
      </c>
      <c r="L72" s="46" t="s">
        <v>39</v>
      </c>
    </row>
    <row r="73" spans="1:12" ht="41.25" customHeight="1" x14ac:dyDescent="0.3">
      <c r="A73" s="41" t="s">
        <v>529</v>
      </c>
      <c r="B73" s="42" t="s">
        <v>24</v>
      </c>
      <c r="C73" s="43" t="s">
        <v>34</v>
      </c>
      <c r="D73" s="42" t="s">
        <v>530</v>
      </c>
      <c r="E73" s="42" t="s">
        <v>464</v>
      </c>
      <c r="F73" s="42" t="s">
        <v>531</v>
      </c>
      <c r="G73" s="42" t="s">
        <v>532</v>
      </c>
      <c r="H73" s="42" t="s">
        <v>519</v>
      </c>
      <c r="I73" s="44" t="s">
        <v>533</v>
      </c>
      <c r="J73" s="45" t="s">
        <v>68</v>
      </c>
      <c r="K73" s="42" t="s">
        <v>534</v>
      </c>
      <c r="L73" s="46" t="s">
        <v>39</v>
      </c>
    </row>
    <row r="74" spans="1:12" ht="54.75" customHeight="1" x14ac:dyDescent="0.3">
      <c r="A74" s="41" t="s">
        <v>535</v>
      </c>
      <c r="B74" s="42" t="s">
        <v>23</v>
      </c>
      <c r="C74" s="43" t="s">
        <v>34</v>
      </c>
      <c r="D74" s="42" t="s">
        <v>536</v>
      </c>
      <c r="E74" s="42" t="s">
        <v>537</v>
      </c>
      <c r="F74" s="42" t="s">
        <v>538</v>
      </c>
      <c r="G74" s="42" t="s">
        <v>539</v>
      </c>
      <c r="H74" s="42" t="s">
        <v>519</v>
      </c>
      <c r="I74" s="44" t="s">
        <v>540</v>
      </c>
      <c r="J74" s="45" t="s">
        <v>68</v>
      </c>
      <c r="K74" s="42" t="s">
        <v>541</v>
      </c>
      <c r="L74" s="46" t="s">
        <v>39</v>
      </c>
    </row>
    <row r="75" spans="1:12" ht="41.25" customHeight="1" x14ac:dyDescent="0.3">
      <c r="A75" s="41" t="s">
        <v>542</v>
      </c>
      <c r="B75" s="42" t="s">
        <v>23</v>
      </c>
      <c r="C75" s="43" t="s">
        <v>36</v>
      </c>
      <c r="D75" s="42" t="s">
        <v>543</v>
      </c>
      <c r="E75" s="42" t="s">
        <v>464</v>
      </c>
      <c r="F75" s="42" t="s">
        <v>544</v>
      </c>
      <c r="G75" s="42" t="s">
        <v>545</v>
      </c>
      <c r="H75" s="42" t="s">
        <v>546</v>
      </c>
      <c r="I75" s="44" t="s">
        <v>547</v>
      </c>
      <c r="J75" s="45" t="s">
        <v>68</v>
      </c>
      <c r="K75" s="42" t="s">
        <v>548</v>
      </c>
      <c r="L75" s="46" t="s">
        <v>39</v>
      </c>
    </row>
    <row r="76" spans="1:12" ht="41.25" customHeight="1" x14ac:dyDescent="0.3">
      <c r="A76" s="41" t="s">
        <v>549</v>
      </c>
      <c r="B76" s="42" t="s">
        <v>23</v>
      </c>
      <c r="C76" s="43" t="s">
        <v>33</v>
      </c>
      <c r="D76" s="42" t="s">
        <v>550</v>
      </c>
      <c r="E76" s="42" t="s">
        <v>464</v>
      </c>
      <c r="F76" s="42" t="s">
        <v>551</v>
      </c>
      <c r="G76" s="42" t="s">
        <v>552</v>
      </c>
      <c r="H76" s="42" t="s">
        <v>553</v>
      </c>
      <c r="I76" s="44" t="s">
        <v>554</v>
      </c>
      <c r="J76" s="45" t="s">
        <v>68</v>
      </c>
      <c r="K76" s="42" t="s">
        <v>555</v>
      </c>
      <c r="L76" s="46" t="s">
        <v>39</v>
      </c>
    </row>
    <row r="77" spans="1:12" ht="41.25" customHeight="1" x14ac:dyDescent="0.3">
      <c r="A77" s="41" t="s">
        <v>556</v>
      </c>
      <c r="B77" s="42" t="s">
        <v>23</v>
      </c>
      <c r="C77" s="43" t="s">
        <v>32</v>
      </c>
      <c r="D77" s="42" t="s">
        <v>557</v>
      </c>
      <c r="E77" s="42" t="s">
        <v>464</v>
      </c>
      <c r="F77" s="42" t="s">
        <v>558</v>
      </c>
      <c r="G77" s="42" t="s">
        <v>498</v>
      </c>
      <c r="H77" s="42" t="s">
        <v>559</v>
      </c>
      <c r="I77" s="44" t="s">
        <v>560</v>
      </c>
      <c r="J77" s="45" t="s">
        <v>68</v>
      </c>
      <c r="K77" s="42" t="s">
        <v>561</v>
      </c>
      <c r="L77" s="46" t="s">
        <v>39</v>
      </c>
    </row>
    <row r="78" spans="1:12" ht="41.25" customHeight="1" x14ac:dyDescent="0.3">
      <c r="A78" s="41" t="s">
        <v>562</v>
      </c>
      <c r="B78" s="42" t="s">
        <v>24</v>
      </c>
      <c r="C78" s="43" t="s">
        <v>33</v>
      </c>
      <c r="D78" s="42" t="s">
        <v>563</v>
      </c>
      <c r="E78" s="42" t="s">
        <v>464</v>
      </c>
      <c r="F78" s="42" t="s">
        <v>564</v>
      </c>
      <c r="G78" s="42" t="s">
        <v>565</v>
      </c>
      <c r="H78" s="42" t="s">
        <v>566</v>
      </c>
      <c r="I78" s="44" t="s">
        <v>567</v>
      </c>
      <c r="J78" s="45" t="s">
        <v>68</v>
      </c>
      <c r="K78" s="42" t="s">
        <v>568</v>
      </c>
      <c r="L78" s="46" t="s">
        <v>39</v>
      </c>
    </row>
    <row r="79" spans="1:12" ht="41.25" customHeight="1" x14ac:dyDescent="0.3">
      <c r="A79" s="41" t="s">
        <v>569</v>
      </c>
      <c r="B79" s="42" t="s">
        <v>23</v>
      </c>
      <c r="C79" s="43" t="s">
        <v>33</v>
      </c>
      <c r="D79" s="42" t="s">
        <v>570</v>
      </c>
      <c r="E79" s="42" t="s">
        <v>464</v>
      </c>
      <c r="F79" s="42" t="s">
        <v>571</v>
      </c>
      <c r="G79" s="42" t="s">
        <v>466</v>
      </c>
      <c r="H79" s="42" t="s">
        <v>572</v>
      </c>
      <c r="I79" s="44" t="s">
        <v>573</v>
      </c>
      <c r="J79" s="45" t="s">
        <v>68</v>
      </c>
      <c r="K79" s="42" t="s">
        <v>574</v>
      </c>
      <c r="L79" s="46" t="s">
        <v>39</v>
      </c>
    </row>
    <row r="80" spans="1:12" ht="41.25" customHeight="1" x14ac:dyDescent="0.3">
      <c r="A80" s="41" t="s">
        <v>575</v>
      </c>
      <c r="B80" s="42" t="s">
        <v>23</v>
      </c>
      <c r="C80" s="43" t="s">
        <v>33</v>
      </c>
      <c r="D80" s="42" t="s">
        <v>576</v>
      </c>
      <c r="E80" s="42" t="s">
        <v>464</v>
      </c>
      <c r="F80" s="42" t="s">
        <v>577</v>
      </c>
      <c r="G80" s="42" t="s">
        <v>578</v>
      </c>
      <c r="H80" s="42" t="s">
        <v>479</v>
      </c>
      <c r="I80" s="44" t="s">
        <v>579</v>
      </c>
      <c r="J80" s="45" t="s">
        <v>68</v>
      </c>
      <c r="K80" s="42" t="s">
        <v>580</v>
      </c>
      <c r="L80" s="46" t="s">
        <v>39</v>
      </c>
    </row>
    <row r="81" spans="1:12" ht="41.25" customHeight="1" x14ac:dyDescent="0.3">
      <c r="A81" s="41" t="s">
        <v>581</v>
      </c>
      <c r="B81" s="42" t="s">
        <v>23</v>
      </c>
      <c r="C81" s="43" t="s">
        <v>35</v>
      </c>
      <c r="D81" s="42" t="s">
        <v>582</v>
      </c>
      <c r="E81" s="42" t="s">
        <v>464</v>
      </c>
      <c r="F81" s="42" t="s">
        <v>583</v>
      </c>
      <c r="G81" s="42" t="s">
        <v>584</v>
      </c>
      <c r="H81" s="42" t="s">
        <v>519</v>
      </c>
      <c r="I81" s="44" t="s">
        <v>585</v>
      </c>
      <c r="J81" s="45" t="s">
        <v>68</v>
      </c>
      <c r="K81" s="42" t="s">
        <v>586</v>
      </c>
      <c r="L81" s="46" t="s">
        <v>39</v>
      </c>
    </row>
    <row r="82" spans="1:12" ht="41.25" customHeight="1" x14ac:dyDescent="0.3">
      <c r="A82" s="41" t="s">
        <v>587</v>
      </c>
      <c r="B82" s="42" t="s">
        <v>23</v>
      </c>
      <c r="C82" s="43" t="s">
        <v>36</v>
      </c>
      <c r="D82" s="42" t="s">
        <v>588</v>
      </c>
      <c r="E82" s="42" t="s">
        <v>464</v>
      </c>
      <c r="F82" s="42" t="s">
        <v>589</v>
      </c>
      <c r="G82" s="42" t="s">
        <v>590</v>
      </c>
      <c r="H82" s="42" t="s">
        <v>591</v>
      </c>
      <c r="I82" s="44" t="s">
        <v>592</v>
      </c>
      <c r="J82" s="45" t="s">
        <v>68</v>
      </c>
      <c r="K82" s="42" t="s">
        <v>593</v>
      </c>
      <c r="L82" s="46" t="s">
        <v>39</v>
      </c>
    </row>
  </sheetData>
  <autoFilter ref="A1:L82" xr:uid="{00000000-0009-0000-0000-000001000000}">
    <sortState xmlns:xlrd2="http://schemas.microsoft.com/office/spreadsheetml/2017/richdata2" ref="A2:L82">
      <sortCondition ref="A2:A82"/>
    </sortState>
  </autoFilter>
  <conditionalFormatting sqref="A2:L82">
    <cfRule type="expression" dxfId="15" priority="11">
      <formula>MOD(ROW(),2)=0</formula>
    </cfRule>
  </conditionalFormatting>
  <conditionalFormatting sqref="C2:C82">
    <cfRule type="cellIs" dxfId="14" priority="6" operator="equal">
      <formula>"Happy Path"</formula>
    </cfRule>
    <cfRule type="cellIs" dxfId="13" priority="7" operator="equal">
      <formula>"Extended Positive"</formula>
    </cfRule>
    <cfRule type="cellIs" dxfId="12" priority="8" operator="equal">
      <formula>"Negative (valid input)"</formula>
    </cfRule>
    <cfRule type="cellIs" dxfId="11" priority="9" operator="equal">
      <formula>"Negative (invalid input)"</formula>
    </cfRule>
    <cfRule type="cellIs" dxfId="10" priority="10" operator="equal">
      <formula>"Destructive / Security"</formula>
    </cfRule>
  </conditionalFormatting>
  <conditionalFormatting sqref="L2:L82">
    <cfRule type="cellIs" dxfId="9" priority="2" operator="equal">
      <formula>"Pass"</formula>
    </cfRule>
    <cfRule type="cellIs" dxfId="8" priority="3" operator="equal">
      <formula>"Fail"</formula>
    </cfRule>
    <cfRule type="cellIs" dxfId="7" priority="4" operator="equal">
      <formula>"Blocked"</formula>
    </cfRule>
    <cfRule type="cellIs" dxfId="6" priority="5" operator="equal">
      <formula>"Not Run"</formula>
    </cfRule>
  </conditionalFormatting>
  <dataValidations count="1">
    <dataValidation type="list" allowBlank="1" sqref="L2:L82" xr:uid="{00000000-0002-0000-0100-000000000000}">
      <formula1>"Pass,Fail,Blocked,Not Run"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3E40"/>
    <pageSetUpPr fitToPage="1"/>
  </sheetPr>
  <dimension ref="A1:D12"/>
  <sheetViews>
    <sheetView showGridLines="0" zoomScaleNormal="100" workbookViewId="0">
      <pane ySplit="1" topLeftCell="A9" activePane="bottomLeft" state="frozen"/>
      <selection pane="bottomLeft" activeCell="D9" sqref="D9"/>
    </sheetView>
  </sheetViews>
  <sheetFormatPr defaultColWidth="8.6640625" defaultRowHeight="14.4" x14ac:dyDescent="0.3"/>
  <cols>
    <col min="1" max="1" width="36" customWidth="1"/>
    <col min="2" max="2" width="18" customWidth="1"/>
    <col min="3" max="3" width="60" customWidth="1"/>
    <col min="4" max="4" width="44" customWidth="1"/>
  </cols>
  <sheetData>
    <row r="1" spans="1:4" ht="25.5" customHeight="1" x14ac:dyDescent="0.3">
      <c r="A1" s="39" t="s">
        <v>594</v>
      </c>
      <c r="B1" s="39" t="s">
        <v>595</v>
      </c>
      <c r="C1" s="39" t="s">
        <v>596</v>
      </c>
      <c r="D1" s="39" t="s">
        <v>597</v>
      </c>
    </row>
    <row r="2" spans="1:4" ht="27" customHeight="1" x14ac:dyDescent="0.3">
      <c r="A2" s="41" t="s">
        <v>598</v>
      </c>
      <c r="B2" s="48" t="s">
        <v>599</v>
      </c>
      <c r="C2" s="42" t="s">
        <v>600</v>
      </c>
      <c r="D2" s="42" t="s">
        <v>601</v>
      </c>
    </row>
    <row r="3" spans="1:4" ht="27" customHeight="1" x14ac:dyDescent="0.3">
      <c r="A3" s="41" t="s">
        <v>602</v>
      </c>
      <c r="B3" s="48" t="s">
        <v>599</v>
      </c>
      <c r="C3" s="42" t="s">
        <v>603</v>
      </c>
      <c r="D3" s="42" t="s">
        <v>604</v>
      </c>
    </row>
    <row r="4" spans="1:4" ht="54.75" customHeight="1" x14ac:dyDescent="0.3">
      <c r="A4" s="41" t="s">
        <v>605</v>
      </c>
      <c r="B4" s="48" t="s">
        <v>606</v>
      </c>
      <c r="C4" s="42" t="s">
        <v>607</v>
      </c>
      <c r="D4" s="42" t="s">
        <v>608</v>
      </c>
    </row>
    <row r="5" spans="1:4" ht="27" customHeight="1" x14ac:dyDescent="0.3">
      <c r="A5" s="41" t="s">
        <v>609</v>
      </c>
      <c r="B5" s="48" t="s">
        <v>610</v>
      </c>
      <c r="C5" s="42" t="s">
        <v>611</v>
      </c>
      <c r="D5" s="42" t="s">
        <v>612</v>
      </c>
    </row>
    <row r="6" spans="1:4" ht="14.25" customHeight="1" x14ac:dyDescent="0.3">
      <c r="A6" s="41" t="s">
        <v>613</v>
      </c>
      <c r="B6" s="48" t="s">
        <v>610</v>
      </c>
      <c r="C6" s="42" t="s">
        <v>614</v>
      </c>
      <c r="D6" s="42" t="s">
        <v>615</v>
      </c>
    </row>
    <row r="7" spans="1:4" ht="27" customHeight="1" x14ac:dyDescent="0.3">
      <c r="A7" s="41" t="s">
        <v>616</v>
      </c>
      <c r="B7" s="48" t="s">
        <v>599</v>
      </c>
      <c r="C7" s="42" t="s">
        <v>617</v>
      </c>
      <c r="D7" s="42" t="s">
        <v>618</v>
      </c>
    </row>
    <row r="8" spans="1:4" ht="41.25" customHeight="1" x14ac:dyDescent="0.3">
      <c r="A8" s="41" t="s">
        <v>619</v>
      </c>
      <c r="B8" s="48" t="s">
        <v>620</v>
      </c>
      <c r="C8" s="42" t="s">
        <v>621</v>
      </c>
      <c r="D8" s="47" t="s">
        <v>622</v>
      </c>
    </row>
    <row r="9" spans="1:4" ht="27" customHeight="1" x14ac:dyDescent="0.3">
      <c r="A9" s="41" t="s">
        <v>623</v>
      </c>
      <c r="B9" s="48" t="s">
        <v>624</v>
      </c>
      <c r="C9" s="42" t="s">
        <v>625</v>
      </c>
      <c r="D9" s="42" t="s">
        <v>626</v>
      </c>
    </row>
    <row r="10" spans="1:4" ht="41.25" customHeight="1" x14ac:dyDescent="0.3">
      <c r="A10" s="41" t="s">
        <v>627</v>
      </c>
      <c r="B10" s="48" t="s">
        <v>606</v>
      </c>
      <c r="C10" s="42" t="s">
        <v>628</v>
      </c>
      <c r="D10" s="42" t="s">
        <v>629</v>
      </c>
    </row>
    <row r="11" spans="1:4" ht="69" customHeight="1" x14ac:dyDescent="0.3">
      <c r="A11" s="41" t="s">
        <v>630</v>
      </c>
      <c r="B11" s="48" t="s">
        <v>606</v>
      </c>
      <c r="C11" s="42" t="s">
        <v>631</v>
      </c>
      <c r="D11" s="42" t="s">
        <v>632</v>
      </c>
    </row>
    <row r="12" spans="1:4" ht="41.25" customHeight="1" x14ac:dyDescent="0.3">
      <c r="A12" s="41" t="s">
        <v>633</v>
      </c>
      <c r="B12" s="48" t="s">
        <v>610</v>
      </c>
      <c r="C12" s="42" t="s">
        <v>634</v>
      </c>
      <c r="D12" s="42" t="s">
        <v>635</v>
      </c>
    </row>
  </sheetData>
  <conditionalFormatting sqref="A2:D12">
    <cfRule type="expression" dxfId="5" priority="7">
      <formula>MOD(ROW(),2)=0</formula>
    </cfRule>
  </conditionalFormatting>
  <conditionalFormatting sqref="B2:B12">
    <cfRule type="cellIs" dxfId="4" priority="2" operator="equal">
      <formula>"Known issue"</formula>
    </cfRule>
    <cfRule type="cellIs" dxfId="3" priority="3" operator="equal">
      <formula>"Not automated"</formula>
    </cfRule>
    <cfRule type="cellIs" dxfId="2" priority="4" operator="equal">
      <formula>"Observation"</formula>
    </cfRule>
    <cfRule type="cellIs" dxfId="1" priority="5" operator="equal">
      <formula>"Not feasible"</formula>
    </cfRule>
    <cfRule type="cellIs" dxfId="0" priority="6" operator="equal">
      <formula>"Confirmed"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Test Cases</vt:lpstr>
      <vt:lpstr>Untestable &amp; Known Issues</vt:lpstr>
      <vt:lpstr>'Test Cases'!Print_Titles</vt:lpstr>
      <vt:lpstr>'Untestable &amp; Known Issues'!Print_Titles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jincy jose</dc:creator>
  <dc:description/>
  <cp:lastModifiedBy>Jincy Jose</cp:lastModifiedBy>
  <cp:revision>5</cp:revision>
  <dcterms:created xsi:type="dcterms:W3CDTF">2026-09-30T01:30:21Z</dcterms:created>
  <dcterms:modified xsi:type="dcterms:W3CDTF">2026-10-03T11:21:00Z</dcterms:modified>
  <dc:language>en-US</dc:language>
</cp:coreProperties>
</file>